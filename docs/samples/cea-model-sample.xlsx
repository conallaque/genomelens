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race_SC" sheetId="3" state="visible" r:id="rId3"/>
    <sheet xmlns:r="http://schemas.openxmlformats.org/officeDocument/2006/relationships" name="Trace_GG" sheetId="4" state="visible" r:id="rId4"/>
  </sheets>
  <definedNames>
    <definedName name="start_age">Inputs!$B$5</definedName>
    <definedName name="cycles">Inputs!$B$6</definedName>
    <definedName name="incidence_rate">Inputs!$B$7</definedName>
    <definedName name="rrr_intervention">Inputs!$B$8</definedName>
    <definedName name="cost_intervention_annual">Inputs!$B$9</definedName>
    <definedName name="cost_disease_annual">Inputs!$B$10</definedName>
    <definedName name="cost_well_annual">Inputs!$B$11</definedName>
    <definedName name="utility_well">Inputs!$B$12</definedName>
    <definedName name="utility_disease">Inputs!$B$13</definedName>
    <definedName name="excess_mortality_rate">Inputs!$B$14</definedName>
    <definedName name="discount_rate">Inputs!$B$15</definedName>
    <definedName name="wtp">Inputs!$B$16</definedName>
    <definedName name="gompertz_a">Inputs!$B$17</definedName>
    <definedName name="gompertz_b">Inputs!$B$18</definedName>
    <definedName name="cycle_length">Inputs!$B$19</definedName>
    <definedName name="half_cycle">Inputs!$B$20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%"/>
    <numFmt numFmtId="166" formatCode="&quot;$&quot;#,##0"/>
    <numFmt numFmtId="167" formatCode="0.000"/>
    <numFmt numFmtId="168" formatCode="0.00000"/>
    <numFmt numFmtId="169" formatCode="0.0"/>
    <numFmt numFmtId="170" formatCode="&quot;$&quot;#,##0.00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0"/>
    </font>
    <font>
      <b val="1"/>
      <sz val="10"/>
    </font>
    <font>
      <color rgb="00595959"/>
      <sz val="9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66" fontId="0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4" fillId="0" borderId="0" pivotButton="0" quotePrefix="0" xfId="0"/>
    <xf numFmtId="166" fontId="6" fillId="4" borderId="1" pivotButton="0" quotePrefix="0" xfId="0"/>
    <xf numFmtId="164" fontId="6" fillId="4" borderId="1" pivotButton="0" quotePrefix="0" xfId="0"/>
    <xf numFmtId="0" fontId="6" fillId="0" borderId="0" pivotButton="0" quotePrefix="0" xfId="0"/>
    <xf numFmtId="0" fontId="6" fillId="4" borderId="1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1" fontId="0" fillId="3" borderId="1" pivotButton="0" quotePrefix="0" xfId="0"/>
    <xf numFmtId="0" fontId="5" fillId="0" borderId="0" applyAlignment="1" pivotButton="0" quotePrefix="0" xfId="0">
      <alignment/>
    </xf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0" fontId="3" fillId="2" borderId="0" applyAlignment="1" pivotButton="0" quotePrefix="0" xfId="0">
      <alignment vertical="center" wrapText="1"/>
    </xf>
    <xf numFmtId="1" fontId="0" fillId="0" borderId="0" pivotButton="0" quotePrefix="0" xfId="0"/>
    <xf numFmtId="169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6" fillId="4" borderId="1" pivotButton="0" quotePrefix="0" xfId="0"/>
    <xf numFmtId="168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76" customWidth="1" min="3" max="3"/>
  </cols>
  <sheetData>
    <row r="1">
      <c r="A1" s="1" t="inlineStr">
        <is>
          <t>Incremental cost-effectiveness</t>
        </is>
      </c>
    </row>
    <row r="2">
      <c r="A2" s="2" t="inlineStr">
        <is>
          <t>Genomic-guided vs standard care. Every cell below is a formula over the two trace sheets; change any input and this moves.</t>
        </is>
      </c>
    </row>
    <row r="4">
      <c r="A4" s="3" t="inlineStr">
        <is>
          <t>Standard care - total cost</t>
        </is>
      </c>
      <c r="B4" s="4">
        <f>'Trace_SC'!R50</f>
        <v/>
      </c>
      <c r="C4" s="5" t="inlineStr">
        <is>
          <t>Discounted, half-cycle corrected</t>
        </is>
      </c>
    </row>
    <row r="5">
      <c r="A5" s="3" t="inlineStr">
        <is>
          <t>Standard care - total QALYs</t>
        </is>
      </c>
      <c r="B5" s="6">
        <f>'Trace_SC'!S50</f>
        <v/>
      </c>
      <c r="C5" s="5" t="inlineStr"/>
    </row>
    <row r="6">
      <c r="A6" s="3" t="inlineStr">
        <is>
          <t>Standard care - life years</t>
        </is>
      </c>
      <c r="B6" s="6">
        <f>'Trace_SC'!T50</f>
        <v/>
      </c>
      <c r="C6" s="5" t="inlineStr"/>
    </row>
    <row r="7">
      <c r="A7" s="3" t="inlineStr">
        <is>
          <t>Genomic-guided - total cost</t>
        </is>
      </c>
      <c r="B7" s="4">
        <f>'Trace_GG'!R50</f>
        <v/>
      </c>
      <c r="C7" s="5" t="inlineStr">
        <is>
          <t>Includes the annual intervention cost while Well</t>
        </is>
      </c>
    </row>
    <row r="8">
      <c r="A8" s="3" t="inlineStr">
        <is>
          <t>Genomic-guided - total QALYs</t>
        </is>
      </c>
      <c r="B8" s="6">
        <f>'Trace_GG'!S50</f>
        <v/>
      </c>
      <c r="C8" s="5" t="inlineStr"/>
    </row>
    <row r="9">
      <c r="A9" s="3" t="inlineStr">
        <is>
          <t>Genomic-guided - life years</t>
        </is>
      </c>
      <c r="B9" s="6">
        <f>'Trace_GG'!T50</f>
        <v/>
      </c>
      <c r="C9" s="5" t="inlineStr"/>
    </row>
    <row r="10">
      <c r="A10" s="7" t="inlineStr">
        <is>
          <t>Incremental cost (dC)</t>
        </is>
      </c>
      <c r="B10" s="8">
        <f>'Trace_GG'!R50-'Trace_SC'!R50</f>
        <v/>
      </c>
      <c r="C10" s="5" t="inlineStr">
        <is>
          <t>Guided minus standard care</t>
        </is>
      </c>
    </row>
    <row r="11">
      <c r="A11" s="7" t="inlineStr">
        <is>
          <t>Incremental QALYs (dQ)</t>
        </is>
      </c>
      <c r="B11" s="9">
        <f>'Trace_GG'!S50-'Trace_SC'!S50</f>
        <v/>
      </c>
      <c r="C11" s="5" t="inlineStr"/>
    </row>
    <row r="12">
      <c r="A12" s="3" t="inlineStr">
        <is>
          <t>Incremental life years</t>
        </is>
      </c>
      <c r="B12" s="6">
        <f>'Trace_GG'!T50-'Trace_SC'!T50</f>
        <v/>
      </c>
      <c r="C12" s="5" t="inlineStr"/>
    </row>
    <row r="14">
      <c r="A14" t="inlineStr">
        <is>
          <t>Dominant (cheaper AND more effective)</t>
        </is>
      </c>
      <c r="B14">
        <f>IF(AND(B10&lt;0,B11&gt;0),"YES","no")</f>
        <v/>
      </c>
    </row>
    <row r="15">
      <c r="A15" t="inlineStr">
        <is>
          <t>Dominated (costlier AND less effective)</t>
        </is>
      </c>
      <c r="B15">
        <f>IF(AND(B10&gt;0,B11&lt;0),"YES","no")</f>
        <v/>
      </c>
    </row>
    <row r="16">
      <c r="A16" s="10" t="inlineStr">
        <is>
          <t>ICER ($/QALY)</t>
        </is>
      </c>
      <c r="B16" s="8">
        <f>IF(OR(B14="YES",B15="YES"),"suppressed (dominance)",IF(ABS(B11)&lt;1E-09,"undefined",B10/B11))</f>
        <v/>
      </c>
      <c r="C16" s="5" t="inlineStr">
        <is>
          <t>Suppressed in the dominance quadrants by HTA reporting convention, matching markov_cost_effectiveness.</t>
        </is>
      </c>
    </row>
    <row r="17">
      <c r="A17" s="10" t="inlineStr">
        <is>
          <t>NMB at WTP</t>
        </is>
      </c>
      <c r="B17" s="8">
        <f>wtp*B11-B10</f>
        <v/>
      </c>
      <c r="C17" s="5" t="inlineStr">
        <is>
          <t>Net monetary benefit. Positive = worth doing at the threshold.</t>
        </is>
      </c>
    </row>
    <row r="19">
      <c r="A19" s="10" t="inlineStr">
        <is>
          <t>Verdict</t>
        </is>
      </c>
      <c r="B19" s="11">
        <f>IF(B14="YES","dominant (cheaper and more effective)",IF(B15="YES","dominated (costlier and less effective)",IF(B17&gt;=0,"cost-effective at WTP","not cost-effective at WTP")))</f>
        <v/>
      </c>
    </row>
    <row r="21" ht="46" customHeight="1">
      <c r="A21" s="10" t="inlineStr">
        <is>
          <t>Model note</t>
        </is>
      </c>
      <c r="B21" s="12" t="inlineStr">
        <is>
          <t>Discrete-time Markov cohort model, annual cycles, half-cycle correction, p = 1 - exp(-rate*dt), age-dependent Gompertz competing mortality, 3% discounting of costs and QALYs. Mirrors econ/markov.py. Sonnenberg &amp; Beck (1993); Briggs, Sculpher &amp; Claxton (2006).</t>
        </is>
      </c>
    </row>
  </sheetData>
  <mergeCells count="2">
    <mergeCell ref="B21:C21"/>
    <mergeCell ref="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74" customWidth="1" min="4" max="4"/>
  </cols>
  <sheetData>
    <row r="1">
      <c r="A1" s="1" t="inlineStr">
        <is>
          <t>GenomeLens - Markov cost-effectiveness model</t>
        </is>
      </c>
    </row>
    <row r="2">
      <c r="A2" s="2" t="inlineStr">
        <is>
          <t>Yellow cells are inputs: edit them and every figure on Results recalculates. Nothing here is a pasted Python result.</t>
        </is>
      </c>
    </row>
    <row r="4">
      <c r="A4" s="13" t="inlineStr">
        <is>
          <t>Parameter</t>
        </is>
      </c>
      <c r="B4" s="13" t="inlineStr">
        <is>
          <t>Value</t>
        </is>
      </c>
      <c r="C4" s="13" t="inlineStr">
        <is>
          <t>Units</t>
        </is>
      </c>
      <c r="D4" s="13" t="inlineStr">
        <is>
          <t>Note</t>
        </is>
      </c>
    </row>
    <row r="5">
      <c r="A5" s="7" t="inlineStr">
        <is>
          <t>start_age</t>
        </is>
      </c>
      <c r="B5" s="14" t="n">
        <v>40</v>
      </c>
      <c r="C5" t="inlineStr">
        <is>
          <t>years</t>
        </is>
      </c>
      <c r="D5" s="15" t="inlineStr">
        <is>
          <t>Cohort age at cycle 0</t>
        </is>
      </c>
    </row>
    <row r="6">
      <c r="A6" s="7" t="inlineStr">
        <is>
          <t>cycles</t>
        </is>
      </c>
      <c r="B6" s="14" t="n">
        <v>45</v>
      </c>
      <c r="C6" t="inlineStr">
        <is>
          <t>cycles</t>
        </is>
      </c>
      <c r="D6" s="15" t="inlineStr">
        <is>
          <t>Annual cycles. Lowering this works; raising it needs a re-export.</t>
        </is>
      </c>
    </row>
    <row r="7">
      <c r="A7" s="7" t="inlineStr">
        <is>
          <t>incidence_rate</t>
        </is>
      </c>
      <c r="B7" s="16" t="n">
        <v>0.01</v>
      </c>
      <c r="C7" t="inlineStr">
        <is>
          <t>per year</t>
        </is>
      </c>
      <c r="D7" s="15" t="inlineStr">
        <is>
          <t>Well -&gt; Disease hazard RATE (not a probability)</t>
        </is>
      </c>
    </row>
    <row r="8">
      <c r="A8" s="7" t="inlineStr">
        <is>
          <t>rrr_intervention</t>
        </is>
      </c>
      <c r="B8" s="17" t="n">
        <v>0.3</v>
      </c>
      <c r="C8" t="inlineStr">
        <is>
          <t>fraction</t>
        </is>
      </c>
      <c r="D8" s="15" t="inlineStr">
        <is>
          <t>Relative risk reduction applied to incidence in the guided arm</t>
        </is>
      </c>
    </row>
    <row r="9">
      <c r="A9" s="7" t="inlineStr">
        <is>
          <t>cost_intervention_annual</t>
        </is>
      </c>
      <c r="B9" s="18" t="n">
        <v>250</v>
      </c>
      <c r="C9" t="inlineStr">
        <is>
          <t>$/yr</t>
        </is>
      </c>
      <c r="D9" s="15" t="inlineStr">
        <is>
          <t>Paid while the patient remains Well, guided arm only</t>
        </is>
      </c>
    </row>
    <row r="10">
      <c r="A10" s="7" t="inlineStr">
        <is>
          <t>cost_disease_annual</t>
        </is>
      </c>
      <c r="B10" s="18" t="n">
        <v>12000</v>
      </c>
      <c r="C10" t="inlineStr">
        <is>
          <t>$/yr</t>
        </is>
      </c>
      <c r="D10" s="15" t="inlineStr">
        <is>
          <t>Annual cost in the Disease state</t>
        </is>
      </c>
    </row>
    <row r="11">
      <c r="A11" s="7" t="inlineStr">
        <is>
          <t>cost_well_annual</t>
        </is>
      </c>
      <c r="B11" s="18" t="n">
        <v>0</v>
      </c>
      <c r="C11" t="inlineStr">
        <is>
          <t>$/yr</t>
        </is>
      </c>
      <c r="D11" s="15" t="inlineStr">
        <is>
          <t>Annual cost in the Well state, both arms</t>
        </is>
      </c>
    </row>
    <row r="12">
      <c r="A12" s="7" t="inlineStr">
        <is>
          <t>utility_well</t>
        </is>
      </c>
      <c r="B12" s="19" t="n">
        <v>0.9</v>
      </c>
      <c r="C12" t="inlineStr">
        <is>
          <t>QALY/yr</t>
        </is>
      </c>
      <c r="D12" s="15" t="inlineStr">
        <is>
          <t>Health-related quality of life, Well</t>
        </is>
      </c>
    </row>
    <row r="13">
      <c r="A13" s="7" t="inlineStr">
        <is>
          <t>utility_disease</t>
        </is>
      </c>
      <c r="B13" s="19" t="n">
        <v>0.68</v>
      </c>
      <c r="C13" t="inlineStr">
        <is>
          <t>QALY/yr</t>
        </is>
      </c>
      <c r="D13" s="15" t="inlineStr">
        <is>
          <t>Health-related quality of life, Disease</t>
        </is>
      </c>
    </row>
    <row r="14">
      <c r="A14" s="7" t="inlineStr">
        <is>
          <t>excess_mortality_rate</t>
        </is>
      </c>
      <c r="B14" s="20" t="n">
        <v>0.035</v>
      </c>
      <c r="C14" t="inlineStr">
        <is>
          <t>per year</t>
        </is>
      </c>
      <c r="D14" s="15" t="inlineStr">
        <is>
          <t>Disease-attributable excess mortality RATE</t>
        </is>
      </c>
    </row>
    <row r="15">
      <c r="A15" s="7" t="inlineStr">
        <is>
          <t>discount_rate</t>
        </is>
      </c>
      <c r="B15" s="17" t="n">
        <v>0.03</v>
      </c>
      <c r="C15" t="inlineStr">
        <is>
          <t>per year</t>
        </is>
      </c>
      <c r="D15" s="15" t="inlineStr">
        <is>
          <t>Applied to both costs and QALYs</t>
        </is>
      </c>
    </row>
    <row r="16">
      <c r="A16" s="7" t="inlineStr">
        <is>
          <t>wtp</t>
        </is>
      </c>
      <c r="B16" s="18" t="n">
        <v>100000</v>
      </c>
      <c r="C16" t="inlineStr">
        <is>
          <t>$/QALY</t>
        </is>
      </c>
      <c r="D16" s="15" t="inlineStr">
        <is>
          <t>Cost-effectiveness threshold</t>
        </is>
      </c>
    </row>
    <row r="17">
      <c r="A17" s="7" t="inlineStr">
        <is>
          <t>gompertz_a</t>
        </is>
      </c>
      <c r="B17" s="21" t="n">
        <v>0.0001</v>
      </c>
      <c r="C17" t="inlineStr">
        <is>
          <t>-</t>
        </is>
      </c>
      <c r="D17" s="15" t="inlineStr">
        <is>
          <t>Gompertz scale for background mortality</t>
        </is>
      </c>
    </row>
    <row r="18">
      <c r="A18" s="7" t="inlineStr">
        <is>
          <t>gompertz_b</t>
        </is>
      </c>
      <c r="B18" s="20" t="n">
        <v>0.08500000000000001</v>
      </c>
      <c r="C18" t="inlineStr">
        <is>
          <t>-</t>
        </is>
      </c>
      <c r="D18" s="15" t="inlineStr">
        <is>
          <t>Gompertz shape for background mortality</t>
        </is>
      </c>
    </row>
    <row r="19">
      <c r="A19" s="7" t="inlineStr">
        <is>
          <t>cycle_length</t>
        </is>
      </c>
      <c r="B19" s="22" t="n">
        <v>1</v>
      </c>
      <c r="C19" t="inlineStr">
        <is>
          <t>years</t>
        </is>
      </c>
      <c r="D19" s="15" t="inlineStr">
        <is>
          <t>Cycle length used in the rate-&gt;probability conversion</t>
        </is>
      </c>
    </row>
    <row r="20">
      <c r="A20" s="7" t="inlineStr">
        <is>
          <t>half_cycle</t>
        </is>
      </c>
      <c r="B20" s="14" t="n">
        <v>1</v>
      </c>
      <c r="C20" t="inlineStr">
        <is>
          <t>1=on 0=off</t>
        </is>
      </c>
      <c r="D20" s="15" t="inlineStr">
        <is>
          <t>Weight cycle 0 and the final cycle at 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2" customWidth="1" min="14" max="14"/>
    <col width="11" customWidth="1" min="15" max="15"/>
    <col width="9" customWidth="1" min="16" max="16"/>
    <col width="11" customWidth="1" min="17" max="17"/>
    <col width="14" customWidth="1" min="18" max="18"/>
    <col width="12" customWidth="1" min="19" max="19"/>
    <col width="11" customWidth="1" min="20" max="20"/>
  </cols>
  <sheetData>
    <row r="1">
      <c r="A1" s="1" t="inlineStr">
        <is>
          <t>Standard care - cohort trace (Well / Disease / Dead)</t>
        </is>
      </c>
    </row>
    <row r="3">
      <c r="A3" s="23" t="inlineStr">
        <is>
          <t>cycle</t>
        </is>
      </c>
      <c r="B3" s="23" t="inlineStr">
        <is>
          <t>age</t>
        </is>
      </c>
      <c r="C3" s="23" t="inlineStr">
        <is>
          <t>incidence (eff. rate)</t>
        </is>
      </c>
      <c r="D3" s="23" t="inlineStr">
        <is>
          <t>p_wd raw</t>
        </is>
      </c>
      <c r="E3" s="23" t="inlineStr">
        <is>
          <t>p_bg raw</t>
        </is>
      </c>
      <c r="F3" s="23" t="inlineStr">
        <is>
          <t>p_ex</t>
        </is>
      </c>
      <c r="G3" s="23" t="inlineStr">
        <is>
          <t>p_wd norm</t>
        </is>
      </c>
      <c r="H3" s="23" t="inlineStr">
        <is>
          <t>p_bg norm</t>
        </is>
      </c>
      <c r="I3" s="23" t="inlineStr">
        <is>
          <t>p_dd</t>
        </is>
      </c>
      <c r="J3" s="23" t="inlineStr">
        <is>
          <t>Well</t>
        </is>
      </c>
      <c r="K3" s="23" t="inlineStr">
        <is>
          <t>Disease</t>
        </is>
      </c>
      <c r="L3" s="23" t="inlineStr">
        <is>
          <t>Dead</t>
        </is>
      </c>
      <c r="M3" s="23" t="inlineStr">
        <is>
          <t>cost/cycle</t>
        </is>
      </c>
      <c r="N3" s="23" t="inlineStr">
        <is>
          <t>qaly/cycle</t>
        </is>
      </c>
      <c r="O3" s="23" t="inlineStr">
        <is>
          <t>ly/cycle</t>
        </is>
      </c>
      <c r="P3" s="23" t="inlineStr">
        <is>
          <t>weight</t>
        </is>
      </c>
      <c r="Q3" s="23" t="inlineStr">
        <is>
          <t>discount</t>
        </is>
      </c>
      <c r="R3" s="23" t="inlineStr">
        <is>
          <t>disc. cost</t>
        </is>
      </c>
      <c r="S3" s="23" t="inlineStr">
        <is>
          <t>disc. qaly</t>
        </is>
      </c>
      <c r="T3" s="23" t="inlineStr">
        <is>
          <t>disc. ly</t>
        </is>
      </c>
    </row>
    <row r="4">
      <c r="A4" s="24" t="n">
        <v>0</v>
      </c>
      <c r="B4" s="25">
        <f>start_age+0</f>
        <v/>
      </c>
      <c r="C4" s="26">
        <f>incidence_rate</f>
        <v/>
      </c>
      <c r="D4" s="26">
        <f>1-EXP(-C4*cycle_length)</f>
        <v/>
      </c>
      <c r="E4" s="26">
        <f>1-EXP(-(gompertz_a*EXP(gompertz_b*MAX(0,B4-20)))*cycle_length)</f>
        <v/>
      </c>
      <c r="F4" s="26">
        <f>1-EXP(-excess_mortality_rate*cycle_length)</f>
        <v/>
      </c>
      <c r="G4" s="26">
        <f>IF((D4+E4)&gt;1,D4/(D4+E4),D4)</f>
        <v/>
      </c>
      <c r="H4" s="26">
        <f>IF((D4+E4)&gt;1,E4/(D4+E4),E4)</f>
        <v/>
      </c>
      <c r="I4" s="26">
        <f>MIN(1,E4+F4)</f>
        <v/>
      </c>
      <c r="J4" s="26" t="n">
        <v>1</v>
      </c>
      <c r="K4" s="26" t="n">
        <v>0</v>
      </c>
      <c r="L4" s="26" t="n">
        <v>0</v>
      </c>
      <c r="M4" s="27">
        <f>J4*(cost_well_annual)+K4*cost_disease_annual</f>
        <v/>
      </c>
      <c r="N4" s="26">
        <f>J4*utility_well+K4*utility_disease</f>
        <v/>
      </c>
      <c r="O4" s="26">
        <f>J4+K4</f>
        <v/>
      </c>
      <c r="P4" s="25">
        <f>IF(A4&gt;cycles-1,0,IF(AND(half_cycle=1,OR(A4=0,A4=cycles-1)),0.5,1))</f>
        <v/>
      </c>
      <c r="Q4" s="26">
        <f>1/(1+discount_rate)^A4</f>
        <v/>
      </c>
      <c r="R4" s="27">
        <f>M4*P4*Q4</f>
        <v/>
      </c>
      <c r="S4" s="26">
        <f>N4*P4*Q4</f>
        <v/>
      </c>
      <c r="T4" s="26">
        <f>O4*P4*Q4</f>
        <v/>
      </c>
    </row>
    <row r="5">
      <c r="A5" s="24" t="n">
        <v>1</v>
      </c>
      <c r="B5" s="25">
        <f>start_age+1</f>
        <v/>
      </c>
      <c r="C5" s="26">
        <f>incidence_rate</f>
        <v/>
      </c>
      <c r="D5" s="26">
        <f>1-EXP(-C5*cycle_length)</f>
        <v/>
      </c>
      <c r="E5" s="26">
        <f>1-EXP(-(gompertz_a*EXP(gompertz_b*MAX(0,B5-20)))*cycle_length)</f>
        <v/>
      </c>
      <c r="F5" s="26">
        <f>1-EXP(-excess_mortality_rate*cycle_length)</f>
        <v/>
      </c>
      <c r="G5" s="26">
        <f>IF((D5+E5)&gt;1,D5/(D5+E5),D5)</f>
        <v/>
      </c>
      <c r="H5" s="26">
        <f>IF((D5+E5)&gt;1,E5/(D5+E5),E5)</f>
        <v/>
      </c>
      <c r="I5" s="26">
        <f>MIN(1,E5+F5)</f>
        <v/>
      </c>
      <c r="J5" s="26">
        <f>J4*(1-G4-H4)</f>
        <v/>
      </c>
      <c r="K5" s="26">
        <f>J4*G4+K4*(1-I4)</f>
        <v/>
      </c>
      <c r="L5" s="26">
        <f>L4+J4*H4+K4*I4</f>
        <v/>
      </c>
      <c r="M5" s="27">
        <f>J5*(cost_well_annual)+K5*cost_disease_annual</f>
        <v/>
      </c>
      <c r="N5" s="26">
        <f>J5*utility_well+K5*utility_disease</f>
        <v/>
      </c>
      <c r="O5" s="26">
        <f>J5+K5</f>
        <v/>
      </c>
      <c r="P5" s="25">
        <f>IF(A5&gt;cycles-1,0,IF(AND(half_cycle=1,OR(A5=0,A5=cycles-1)),0.5,1))</f>
        <v/>
      </c>
      <c r="Q5" s="26">
        <f>1/(1+discount_rate)^A5</f>
        <v/>
      </c>
      <c r="R5" s="27">
        <f>M5*P5*Q5</f>
        <v/>
      </c>
      <c r="S5" s="26">
        <f>N5*P5*Q5</f>
        <v/>
      </c>
      <c r="T5" s="26">
        <f>O5*P5*Q5</f>
        <v/>
      </c>
    </row>
    <row r="6">
      <c r="A6" s="24" t="n">
        <v>2</v>
      </c>
      <c r="B6" s="25">
        <f>start_age+2</f>
        <v/>
      </c>
      <c r="C6" s="26">
        <f>incidence_rate</f>
        <v/>
      </c>
      <c r="D6" s="26">
        <f>1-EXP(-C6*cycle_length)</f>
        <v/>
      </c>
      <c r="E6" s="26">
        <f>1-EXP(-(gompertz_a*EXP(gompertz_b*MAX(0,B6-20)))*cycle_length)</f>
        <v/>
      </c>
      <c r="F6" s="26">
        <f>1-EXP(-excess_mortality_rate*cycle_length)</f>
        <v/>
      </c>
      <c r="G6" s="26">
        <f>IF((D6+E6)&gt;1,D6/(D6+E6),D6)</f>
        <v/>
      </c>
      <c r="H6" s="26">
        <f>IF((D6+E6)&gt;1,E6/(D6+E6),E6)</f>
        <v/>
      </c>
      <c r="I6" s="26">
        <f>MIN(1,E6+F6)</f>
        <v/>
      </c>
      <c r="J6" s="26">
        <f>J5*(1-G5-H5)</f>
        <v/>
      </c>
      <c r="K6" s="26">
        <f>J5*G5+K5*(1-I5)</f>
        <v/>
      </c>
      <c r="L6" s="26">
        <f>L5+J5*H5+K5*I5</f>
        <v/>
      </c>
      <c r="M6" s="27">
        <f>J6*(cost_well_annual)+K6*cost_disease_annual</f>
        <v/>
      </c>
      <c r="N6" s="26">
        <f>J6*utility_well+K6*utility_disease</f>
        <v/>
      </c>
      <c r="O6" s="26">
        <f>J6+K6</f>
        <v/>
      </c>
      <c r="P6" s="25">
        <f>IF(A6&gt;cycles-1,0,IF(AND(half_cycle=1,OR(A6=0,A6=cycles-1)),0.5,1))</f>
        <v/>
      </c>
      <c r="Q6" s="26">
        <f>1/(1+discount_rate)^A6</f>
        <v/>
      </c>
      <c r="R6" s="27">
        <f>M6*P6*Q6</f>
        <v/>
      </c>
      <c r="S6" s="26">
        <f>N6*P6*Q6</f>
        <v/>
      </c>
      <c r="T6" s="26">
        <f>O6*P6*Q6</f>
        <v/>
      </c>
    </row>
    <row r="7">
      <c r="A7" s="24" t="n">
        <v>3</v>
      </c>
      <c r="B7" s="25">
        <f>start_age+3</f>
        <v/>
      </c>
      <c r="C7" s="26">
        <f>incidence_rate</f>
        <v/>
      </c>
      <c r="D7" s="26">
        <f>1-EXP(-C7*cycle_length)</f>
        <v/>
      </c>
      <c r="E7" s="26">
        <f>1-EXP(-(gompertz_a*EXP(gompertz_b*MAX(0,B7-20)))*cycle_length)</f>
        <v/>
      </c>
      <c r="F7" s="26">
        <f>1-EXP(-excess_mortality_rate*cycle_length)</f>
        <v/>
      </c>
      <c r="G7" s="26">
        <f>IF((D7+E7)&gt;1,D7/(D7+E7),D7)</f>
        <v/>
      </c>
      <c r="H7" s="26">
        <f>IF((D7+E7)&gt;1,E7/(D7+E7),E7)</f>
        <v/>
      </c>
      <c r="I7" s="26">
        <f>MIN(1,E7+F7)</f>
        <v/>
      </c>
      <c r="J7" s="26">
        <f>J6*(1-G6-H6)</f>
        <v/>
      </c>
      <c r="K7" s="26">
        <f>J6*G6+K6*(1-I6)</f>
        <v/>
      </c>
      <c r="L7" s="26">
        <f>L6+J6*H6+K6*I6</f>
        <v/>
      </c>
      <c r="M7" s="27">
        <f>J7*(cost_well_annual)+K7*cost_disease_annual</f>
        <v/>
      </c>
      <c r="N7" s="26">
        <f>J7*utility_well+K7*utility_disease</f>
        <v/>
      </c>
      <c r="O7" s="26">
        <f>J7+K7</f>
        <v/>
      </c>
      <c r="P7" s="25">
        <f>IF(A7&gt;cycles-1,0,IF(AND(half_cycle=1,OR(A7=0,A7=cycles-1)),0.5,1))</f>
        <v/>
      </c>
      <c r="Q7" s="26">
        <f>1/(1+discount_rate)^A7</f>
        <v/>
      </c>
      <c r="R7" s="27">
        <f>M7*P7*Q7</f>
        <v/>
      </c>
      <c r="S7" s="26">
        <f>N7*P7*Q7</f>
        <v/>
      </c>
      <c r="T7" s="26">
        <f>O7*P7*Q7</f>
        <v/>
      </c>
    </row>
    <row r="8">
      <c r="A8" s="24" t="n">
        <v>4</v>
      </c>
      <c r="B8" s="25">
        <f>start_age+4</f>
        <v/>
      </c>
      <c r="C8" s="26">
        <f>incidence_rate</f>
        <v/>
      </c>
      <c r="D8" s="26">
        <f>1-EXP(-C8*cycle_length)</f>
        <v/>
      </c>
      <c r="E8" s="26">
        <f>1-EXP(-(gompertz_a*EXP(gompertz_b*MAX(0,B8-20)))*cycle_length)</f>
        <v/>
      </c>
      <c r="F8" s="26">
        <f>1-EXP(-excess_mortality_rate*cycle_length)</f>
        <v/>
      </c>
      <c r="G8" s="26">
        <f>IF((D8+E8)&gt;1,D8/(D8+E8),D8)</f>
        <v/>
      </c>
      <c r="H8" s="26">
        <f>IF((D8+E8)&gt;1,E8/(D8+E8),E8)</f>
        <v/>
      </c>
      <c r="I8" s="26">
        <f>MIN(1,E8+F8)</f>
        <v/>
      </c>
      <c r="J8" s="26">
        <f>J7*(1-G7-H7)</f>
        <v/>
      </c>
      <c r="K8" s="26">
        <f>J7*G7+K7*(1-I7)</f>
        <v/>
      </c>
      <c r="L8" s="26">
        <f>L7+J7*H7+K7*I7</f>
        <v/>
      </c>
      <c r="M8" s="27">
        <f>J8*(cost_well_annual)+K8*cost_disease_annual</f>
        <v/>
      </c>
      <c r="N8" s="26">
        <f>J8*utility_well+K8*utility_disease</f>
        <v/>
      </c>
      <c r="O8" s="26">
        <f>J8+K8</f>
        <v/>
      </c>
      <c r="P8" s="25">
        <f>IF(A8&gt;cycles-1,0,IF(AND(half_cycle=1,OR(A8=0,A8=cycles-1)),0.5,1))</f>
        <v/>
      </c>
      <c r="Q8" s="26">
        <f>1/(1+discount_rate)^A8</f>
        <v/>
      </c>
      <c r="R8" s="27">
        <f>M8*P8*Q8</f>
        <v/>
      </c>
      <c r="S8" s="26">
        <f>N8*P8*Q8</f>
        <v/>
      </c>
      <c r="T8" s="26">
        <f>O8*P8*Q8</f>
        <v/>
      </c>
    </row>
    <row r="9">
      <c r="A9" s="24" t="n">
        <v>5</v>
      </c>
      <c r="B9" s="25">
        <f>start_age+5</f>
        <v/>
      </c>
      <c r="C9" s="26">
        <f>incidence_rate</f>
        <v/>
      </c>
      <c r="D9" s="26">
        <f>1-EXP(-C9*cycle_length)</f>
        <v/>
      </c>
      <c r="E9" s="26">
        <f>1-EXP(-(gompertz_a*EXP(gompertz_b*MAX(0,B9-20)))*cycle_length)</f>
        <v/>
      </c>
      <c r="F9" s="26">
        <f>1-EXP(-excess_mortality_rate*cycle_length)</f>
        <v/>
      </c>
      <c r="G9" s="26">
        <f>IF((D9+E9)&gt;1,D9/(D9+E9),D9)</f>
        <v/>
      </c>
      <c r="H9" s="26">
        <f>IF((D9+E9)&gt;1,E9/(D9+E9),E9)</f>
        <v/>
      </c>
      <c r="I9" s="26">
        <f>MIN(1,E9+F9)</f>
        <v/>
      </c>
      <c r="J9" s="26">
        <f>J8*(1-G8-H8)</f>
        <v/>
      </c>
      <c r="K9" s="26">
        <f>J8*G8+K8*(1-I8)</f>
        <v/>
      </c>
      <c r="L9" s="26">
        <f>L8+J8*H8+K8*I8</f>
        <v/>
      </c>
      <c r="M9" s="27">
        <f>J9*(cost_well_annual)+K9*cost_disease_annual</f>
        <v/>
      </c>
      <c r="N9" s="26">
        <f>J9*utility_well+K9*utility_disease</f>
        <v/>
      </c>
      <c r="O9" s="26">
        <f>J9+K9</f>
        <v/>
      </c>
      <c r="P9" s="25">
        <f>IF(A9&gt;cycles-1,0,IF(AND(half_cycle=1,OR(A9=0,A9=cycles-1)),0.5,1))</f>
        <v/>
      </c>
      <c r="Q9" s="26">
        <f>1/(1+discount_rate)^A9</f>
        <v/>
      </c>
      <c r="R9" s="27">
        <f>M9*P9*Q9</f>
        <v/>
      </c>
      <c r="S9" s="26">
        <f>N9*P9*Q9</f>
        <v/>
      </c>
      <c r="T9" s="26">
        <f>O9*P9*Q9</f>
        <v/>
      </c>
    </row>
    <row r="10">
      <c r="A10" s="24" t="n">
        <v>6</v>
      </c>
      <c r="B10" s="25">
        <f>start_age+6</f>
        <v/>
      </c>
      <c r="C10" s="26">
        <f>incidence_rate</f>
        <v/>
      </c>
      <c r="D10" s="26">
        <f>1-EXP(-C10*cycle_length)</f>
        <v/>
      </c>
      <c r="E10" s="26">
        <f>1-EXP(-(gompertz_a*EXP(gompertz_b*MAX(0,B10-20)))*cycle_length)</f>
        <v/>
      </c>
      <c r="F10" s="26">
        <f>1-EXP(-excess_mortality_rate*cycle_length)</f>
        <v/>
      </c>
      <c r="G10" s="26">
        <f>IF((D10+E10)&gt;1,D10/(D10+E10),D10)</f>
        <v/>
      </c>
      <c r="H10" s="26">
        <f>IF((D10+E10)&gt;1,E10/(D10+E10),E10)</f>
        <v/>
      </c>
      <c r="I10" s="26">
        <f>MIN(1,E10+F10)</f>
        <v/>
      </c>
      <c r="J10" s="26">
        <f>J9*(1-G9-H9)</f>
        <v/>
      </c>
      <c r="K10" s="26">
        <f>J9*G9+K9*(1-I9)</f>
        <v/>
      </c>
      <c r="L10" s="26">
        <f>L9+J9*H9+K9*I9</f>
        <v/>
      </c>
      <c r="M10" s="27">
        <f>J10*(cost_well_annual)+K10*cost_disease_annual</f>
        <v/>
      </c>
      <c r="N10" s="26">
        <f>J10*utility_well+K10*utility_disease</f>
        <v/>
      </c>
      <c r="O10" s="26">
        <f>J10+K10</f>
        <v/>
      </c>
      <c r="P10" s="25">
        <f>IF(A10&gt;cycles-1,0,IF(AND(half_cycle=1,OR(A10=0,A10=cycles-1)),0.5,1))</f>
        <v/>
      </c>
      <c r="Q10" s="26">
        <f>1/(1+discount_rate)^A10</f>
        <v/>
      </c>
      <c r="R10" s="27">
        <f>M10*P10*Q10</f>
        <v/>
      </c>
      <c r="S10" s="26">
        <f>N10*P10*Q10</f>
        <v/>
      </c>
      <c r="T10" s="26">
        <f>O10*P10*Q10</f>
        <v/>
      </c>
    </row>
    <row r="11">
      <c r="A11" s="24" t="n">
        <v>7</v>
      </c>
      <c r="B11" s="25">
        <f>start_age+7</f>
        <v/>
      </c>
      <c r="C11" s="26">
        <f>incidence_rate</f>
        <v/>
      </c>
      <c r="D11" s="26">
        <f>1-EXP(-C11*cycle_length)</f>
        <v/>
      </c>
      <c r="E11" s="26">
        <f>1-EXP(-(gompertz_a*EXP(gompertz_b*MAX(0,B11-20)))*cycle_length)</f>
        <v/>
      </c>
      <c r="F11" s="26">
        <f>1-EXP(-excess_mortality_rate*cycle_length)</f>
        <v/>
      </c>
      <c r="G11" s="26">
        <f>IF((D11+E11)&gt;1,D11/(D11+E11),D11)</f>
        <v/>
      </c>
      <c r="H11" s="26">
        <f>IF((D11+E11)&gt;1,E11/(D11+E11),E11)</f>
        <v/>
      </c>
      <c r="I11" s="26">
        <f>MIN(1,E11+F11)</f>
        <v/>
      </c>
      <c r="J11" s="26">
        <f>J10*(1-G10-H10)</f>
        <v/>
      </c>
      <c r="K11" s="26">
        <f>J10*G10+K10*(1-I10)</f>
        <v/>
      </c>
      <c r="L11" s="26">
        <f>L10+J10*H10+K10*I10</f>
        <v/>
      </c>
      <c r="M11" s="27">
        <f>J11*(cost_well_annual)+K11*cost_disease_annual</f>
        <v/>
      </c>
      <c r="N11" s="26">
        <f>J11*utility_well+K11*utility_disease</f>
        <v/>
      </c>
      <c r="O11" s="26">
        <f>J11+K11</f>
        <v/>
      </c>
      <c r="P11" s="25">
        <f>IF(A11&gt;cycles-1,0,IF(AND(half_cycle=1,OR(A11=0,A11=cycles-1)),0.5,1))</f>
        <v/>
      </c>
      <c r="Q11" s="26">
        <f>1/(1+discount_rate)^A11</f>
        <v/>
      </c>
      <c r="R11" s="27">
        <f>M11*P11*Q11</f>
        <v/>
      </c>
      <c r="S11" s="26">
        <f>N11*P11*Q11</f>
        <v/>
      </c>
      <c r="T11" s="26">
        <f>O11*P11*Q11</f>
        <v/>
      </c>
    </row>
    <row r="12">
      <c r="A12" s="24" t="n">
        <v>8</v>
      </c>
      <c r="B12" s="25">
        <f>start_age+8</f>
        <v/>
      </c>
      <c r="C12" s="26">
        <f>incidence_rate</f>
        <v/>
      </c>
      <c r="D12" s="26">
        <f>1-EXP(-C12*cycle_length)</f>
        <v/>
      </c>
      <c r="E12" s="26">
        <f>1-EXP(-(gompertz_a*EXP(gompertz_b*MAX(0,B12-20)))*cycle_length)</f>
        <v/>
      </c>
      <c r="F12" s="26">
        <f>1-EXP(-excess_mortality_rate*cycle_length)</f>
        <v/>
      </c>
      <c r="G12" s="26">
        <f>IF((D12+E12)&gt;1,D12/(D12+E12),D12)</f>
        <v/>
      </c>
      <c r="H12" s="26">
        <f>IF((D12+E12)&gt;1,E12/(D12+E12),E12)</f>
        <v/>
      </c>
      <c r="I12" s="26">
        <f>MIN(1,E12+F12)</f>
        <v/>
      </c>
      <c r="J12" s="26">
        <f>J11*(1-G11-H11)</f>
        <v/>
      </c>
      <c r="K12" s="26">
        <f>J11*G11+K11*(1-I11)</f>
        <v/>
      </c>
      <c r="L12" s="26">
        <f>L11+J11*H11+K11*I11</f>
        <v/>
      </c>
      <c r="M12" s="27">
        <f>J12*(cost_well_annual)+K12*cost_disease_annual</f>
        <v/>
      </c>
      <c r="N12" s="26">
        <f>J12*utility_well+K12*utility_disease</f>
        <v/>
      </c>
      <c r="O12" s="26">
        <f>J12+K12</f>
        <v/>
      </c>
      <c r="P12" s="25">
        <f>IF(A12&gt;cycles-1,0,IF(AND(half_cycle=1,OR(A12=0,A12=cycles-1)),0.5,1))</f>
        <v/>
      </c>
      <c r="Q12" s="26">
        <f>1/(1+discount_rate)^A12</f>
        <v/>
      </c>
      <c r="R12" s="27">
        <f>M12*P12*Q12</f>
        <v/>
      </c>
      <c r="S12" s="26">
        <f>N12*P12*Q12</f>
        <v/>
      </c>
      <c r="T12" s="26">
        <f>O12*P12*Q12</f>
        <v/>
      </c>
    </row>
    <row r="13">
      <c r="A13" s="24" t="n">
        <v>9</v>
      </c>
      <c r="B13" s="25">
        <f>start_age+9</f>
        <v/>
      </c>
      <c r="C13" s="26">
        <f>incidence_rate</f>
        <v/>
      </c>
      <c r="D13" s="26">
        <f>1-EXP(-C13*cycle_length)</f>
        <v/>
      </c>
      <c r="E13" s="26">
        <f>1-EXP(-(gompertz_a*EXP(gompertz_b*MAX(0,B13-20)))*cycle_length)</f>
        <v/>
      </c>
      <c r="F13" s="26">
        <f>1-EXP(-excess_mortality_rate*cycle_length)</f>
        <v/>
      </c>
      <c r="G13" s="26">
        <f>IF((D13+E13)&gt;1,D13/(D13+E13),D13)</f>
        <v/>
      </c>
      <c r="H13" s="26">
        <f>IF((D13+E13)&gt;1,E13/(D13+E13),E13)</f>
        <v/>
      </c>
      <c r="I13" s="26">
        <f>MIN(1,E13+F13)</f>
        <v/>
      </c>
      <c r="J13" s="26">
        <f>J12*(1-G12-H12)</f>
        <v/>
      </c>
      <c r="K13" s="26">
        <f>J12*G12+K12*(1-I12)</f>
        <v/>
      </c>
      <c r="L13" s="26">
        <f>L12+J12*H12+K12*I12</f>
        <v/>
      </c>
      <c r="M13" s="27">
        <f>J13*(cost_well_annual)+K13*cost_disease_annual</f>
        <v/>
      </c>
      <c r="N13" s="26">
        <f>J13*utility_well+K13*utility_disease</f>
        <v/>
      </c>
      <c r="O13" s="26">
        <f>J13+K13</f>
        <v/>
      </c>
      <c r="P13" s="25">
        <f>IF(A13&gt;cycles-1,0,IF(AND(half_cycle=1,OR(A13=0,A13=cycles-1)),0.5,1))</f>
        <v/>
      </c>
      <c r="Q13" s="26">
        <f>1/(1+discount_rate)^A13</f>
        <v/>
      </c>
      <c r="R13" s="27">
        <f>M13*P13*Q13</f>
        <v/>
      </c>
      <c r="S13" s="26">
        <f>N13*P13*Q13</f>
        <v/>
      </c>
      <c r="T13" s="26">
        <f>O13*P13*Q13</f>
        <v/>
      </c>
    </row>
    <row r="14">
      <c r="A14" s="24" t="n">
        <v>10</v>
      </c>
      <c r="B14" s="25">
        <f>start_age+10</f>
        <v/>
      </c>
      <c r="C14" s="26">
        <f>incidence_rate</f>
        <v/>
      </c>
      <c r="D14" s="26">
        <f>1-EXP(-C14*cycle_length)</f>
        <v/>
      </c>
      <c r="E14" s="26">
        <f>1-EXP(-(gompertz_a*EXP(gompertz_b*MAX(0,B14-20)))*cycle_length)</f>
        <v/>
      </c>
      <c r="F14" s="26">
        <f>1-EXP(-excess_mortality_rate*cycle_length)</f>
        <v/>
      </c>
      <c r="G14" s="26">
        <f>IF((D14+E14)&gt;1,D14/(D14+E14),D14)</f>
        <v/>
      </c>
      <c r="H14" s="26">
        <f>IF((D14+E14)&gt;1,E14/(D14+E14),E14)</f>
        <v/>
      </c>
      <c r="I14" s="26">
        <f>MIN(1,E14+F14)</f>
        <v/>
      </c>
      <c r="J14" s="26">
        <f>J13*(1-G13-H13)</f>
        <v/>
      </c>
      <c r="K14" s="26">
        <f>J13*G13+K13*(1-I13)</f>
        <v/>
      </c>
      <c r="L14" s="26">
        <f>L13+J13*H13+K13*I13</f>
        <v/>
      </c>
      <c r="M14" s="27">
        <f>J14*(cost_well_annual)+K14*cost_disease_annual</f>
        <v/>
      </c>
      <c r="N14" s="26">
        <f>J14*utility_well+K14*utility_disease</f>
        <v/>
      </c>
      <c r="O14" s="26">
        <f>J14+K14</f>
        <v/>
      </c>
      <c r="P14" s="25">
        <f>IF(A14&gt;cycles-1,0,IF(AND(half_cycle=1,OR(A14=0,A14=cycles-1)),0.5,1))</f>
        <v/>
      </c>
      <c r="Q14" s="26">
        <f>1/(1+discount_rate)^A14</f>
        <v/>
      </c>
      <c r="R14" s="27">
        <f>M14*P14*Q14</f>
        <v/>
      </c>
      <c r="S14" s="26">
        <f>N14*P14*Q14</f>
        <v/>
      </c>
      <c r="T14" s="26">
        <f>O14*P14*Q14</f>
        <v/>
      </c>
    </row>
    <row r="15">
      <c r="A15" s="24" t="n">
        <v>11</v>
      </c>
      <c r="B15" s="25">
        <f>start_age+11</f>
        <v/>
      </c>
      <c r="C15" s="26">
        <f>incidence_rate</f>
        <v/>
      </c>
      <c r="D15" s="26">
        <f>1-EXP(-C15*cycle_length)</f>
        <v/>
      </c>
      <c r="E15" s="26">
        <f>1-EXP(-(gompertz_a*EXP(gompertz_b*MAX(0,B15-20)))*cycle_length)</f>
        <v/>
      </c>
      <c r="F15" s="26">
        <f>1-EXP(-excess_mortality_rate*cycle_length)</f>
        <v/>
      </c>
      <c r="G15" s="26">
        <f>IF((D15+E15)&gt;1,D15/(D15+E15),D15)</f>
        <v/>
      </c>
      <c r="H15" s="26">
        <f>IF((D15+E15)&gt;1,E15/(D15+E15),E15)</f>
        <v/>
      </c>
      <c r="I15" s="26">
        <f>MIN(1,E15+F15)</f>
        <v/>
      </c>
      <c r="J15" s="26">
        <f>J14*(1-G14-H14)</f>
        <v/>
      </c>
      <c r="K15" s="26">
        <f>J14*G14+K14*(1-I14)</f>
        <v/>
      </c>
      <c r="L15" s="26">
        <f>L14+J14*H14+K14*I14</f>
        <v/>
      </c>
      <c r="M15" s="27">
        <f>J15*(cost_well_annual)+K15*cost_disease_annual</f>
        <v/>
      </c>
      <c r="N15" s="26">
        <f>J15*utility_well+K15*utility_disease</f>
        <v/>
      </c>
      <c r="O15" s="26">
        <f>J15+K15</f>
        <v/>
      </c>
      <c r="P15" s="25">
        <f>IF(A15&gt;cycles-1,0,IF(AND(half_cycle=1,OR(A15=0,A15=cycles-1)),0.5,1))</f>
        <v/>
      </c>
      <c r="Q15" s="26">
        <f>1/(1+discount_rate)^A15</f>
        <v/>
      </c>
      <c r="R15" s="27">
        <f>M15*P15*Q15</f>
        <v/>
      </c>
      <c r="S15" s="26">
        <f>N15*P15*Q15</f>
        <v/>
      </c>
      <c r="T15" s="26">
        <f>O15*P15*Q15</f>
        <v/>
      </c>
    </row>
    <row r="16">
      <c r="A16" s="24" t="n">
        <v>12</v>
      </c>
      <c r="B16" s="25">
        <f>start_age+12</f>
        <v/>
      </c>
      <c r="C16" s="26">
        <f>incidence_rate</f>
        <v/>
      </c>
      <c r="D16" s="26">
        <f>1-EXP(-C16*cycle_length)</f>
        <v/>
      </c>
      <c r="E16" s="26">
        <f>1-EXP(-(gompertz_a*EXP(gompertz_b*MAX(0,B16-20)))*cycle_length)</f>
        <v/>
      </c>
      <c r="F16" s="26">
        <f>1-EXP(-excess_mortality_rate*cycle_length)</f>
        <v/>
      </c>
      <c r="G16" s="26">
        <f>IF((D16+E16)&gt;1,D16/(D16+E16),D16)</f>
        <v/>
      </c>
      <c r="H16" s="26">
        <f>IF((D16+E16)&gt;1,E16/(D16+E16),E16)</f>
        <v/>
      </c>
      <c r="I16" s="26">
        <f>MIN(1,E16+F16)</f>
        <v/>
      </c>
      <c r="J16" s="26">
        <f>J15*(1-G15-H15)</f>
        <v/>
      </c>
      <c r="K16" s="26">
        <f>J15*G15+K15*(1-I15)</f>
        <v/>
      </c>
      <c r="L16" s="26">
        <f>L15+J15*H15+K15*I15</f>
        <v/>
      </c>
      <c r="M16" s="27">
        <f>J16*(cost_well_annual)+K16*cost_disease_annual</f>
        <v/>
      </c>
      <c r="N16" s="26">
        <f>J16*utility_well+K16*utility_disease</f>
        <v/>
      </c>
      <c r="O16" s="26">
        <f>J16+K16</f>
        <v/>
      </c>
      <c r="P16" s="25">
        <f>IF(A16&gt;cycles-1,0,IF(AND(half_cycle=1,OR(A16=0,A16=cycles-1)),0.5,1))</f>
        <v/>
      </c>
      <c r="Q16" s="26">
        <f>1/(1+discount_rate)^A16</f>
        <v/>
      </c>
      <c r="R16" s="27">
        <f>M16*P16*Q16</f>
        <v/>
      </c>
      <c r="S16" s="26">
        <f>N16*P16*Q16</f>
        <v/>
      </c>
      <c r="T16" s="26">
        <f>O16*P16*Q16</f>
        <v/>
      </c>
    </row>
    <row r="17">
      <c r="A17" s="24" t="n">
        <v>13</v>
      </c>
      <c r="B17" s="25">
        <f>start_age+13</f>
        <v/>
      </c>
      <c r="C17" s="26">
        <f>incidence_rate</f>
        <v/>
      </c>
      <c r="D17" s="26">
        <f>1-EXP(-C17*cycle_length)</f>
        <v/>
      </c>
      <c r="E17" s="26">
        <f>1-EXP(-(gompertz_a*EXP(gompertz_b*MAX(0,B17-20)))*cycle_length)</f>
        <v/>
      </c>
      <c r="F17" s="26">
        <f>1-EXP(-excess_mortality_rate*cycle_length)</f>
        <v/>
      </c>
      <c r="G17" s="26">
        <f>IF((D17+E17)&gt;1,D17/(D17+E17),D17)</f>
        <v/>
      </c>
      <c r="H17" s="26">
        <f>IF((D17+E17)&gt;1,E17/(D17+E17),E17)</f>
        <v/>
      </c>
      <c r="I17" s="26">
        <f>MIN(1,E17+F17)</f>
        <v/>
      </c>
      <c r="J17" s="26">
        <f>J16*(1-G16-H16)</f>
        <v/>
      </c>
      <c r="K17" s="26">
        <f>J16*G16+K16*(1-I16)</f>
        <v/>
      </c>
      <c r="L17" s="26">
        <f>L16+J16*H16+K16*I16</f>
        <v/>
      </c>
      <c r="M17" s="27">
        <f>J17*(cost_well_annual)+K17*cost_disease_annual</f>
        <v/>
      </c>
      <c r="N17" s="26">
        <f>J17*utility_well+K17*utility_disease</f>
        <v/>
      </c>
      <c r="O17" s="26">
        <f>J17+K17</f>
        <v/>
      </c>
      <c r="P17" s="25">
        <f>IF(A17&gt;cycles-1,0,IF(AND(half_cycle=1,OR(A17=0,A17=cycles-1)),0.5,1))</f>
        <v/>
      </c>
      <c r="Q17" s="26">
        <f>1/(1+discount_rate)^A17</f>
        <v/>
      </c>
      <c r="R17" s="27">
        <f>M17*P17*Q17</f>
        <v/>
      </c>
      <c r="S17" s="26">
        <f>N17*P17*Q17</f>
        <v/>
      </c>
      <c r="T17" s="26">
        <f>O17*P17*Q17</f>
        <v/>
      </c>
    </row>
    <row r="18">
      <c r="A18" s="24" t="n">
        <v>14</v>
      </c>
      <c r="B18" s="25">
        <f>start_age+14</f>
        <v/>
      </c>
      <c r="C18" s="26">
        <f>incidence_rate</f>
        <v/>
      </c>
      <c r="D18" s="26">
        <f>1-EXP(-C18*cycle_length)</f>
        <v/>
      </c>
      <c r="E18" s="26">
        <f>1-EXP(-(gompertz_a*EXP(gompertz_b*MAX(0,B18-20)))*cycle_length)</f>
        <v/>
      </c>
      <c r="F18" s="26">
        <f>1-EXP(-excess_mortality_rate*cycle_length)</f>
        <v/>
      </c>
      <c r="G18" s="26">
        <f>IF((D18+E18)&gt;1,D18/(D18+E18),D18)</f>
        <v/>
      </c>
      <c r="H18" s="26">
        <f>IF((D18+E18)&gt;1,E18/(D18+E18),E18)</f>
        <v/>
      </c>
      <c r="I18" s="26">
        <f>MIN(1,E18+F18)</f>
        <v/>
      </c>
      <c r="J18" s="26">
        <f>J17*(1-G17-H17)</f>
        <v/>
      </c>
      <c r="K18" s="26">
        <f>J17*G17+K17*(1-I17)</f>
        <v/>
      </c>
      <c r="L18" s="26">
        <f>L17+J17*H17+K17*I17</f>
        <v/>
      </c>
      <c r="M18" s="27">
        <f>J18*(cost_well_annual)+K18*cost_disease_annual</f>
        <v/>
      </c>
      <c r="N18" s="26">
        <f>J18*utility_well+K18*utility_disease</f>
        <v/>
      </c>
      <c r="O18" s="26">
        <f>J18+K18</f>
        <v/>
      </c>
      <c r="P18" s="25">
        <f>IF(A18&gt;cycles-1,0,IF(AND(half_cycle=1,OR(A18=0,A18=cycles-1)),0.5,1))</f>
        <v/>
      </c>
      <c r="Q18" s="26">
        <f>1/(1+discount_rate)^A18</f>
        <v/>
      </c>
      <c r="R18" s="27">
        <f>M18*P18*Q18</f>
        <v/>
      </c>
      <c r="S18" s="26">
        <f>N18*P18*Q18</f>
        <v/>
      </c>
      <c r="T18" s="26">
        <f>O18*P18*Q18</f>
        <v/>
      </c>
    </row>
    <row r="19">
      <c r="A19" s="24" t="n">
        <v>15</v>
      </c>
      <c r="B19" s="25">
        <f>start_age+15</f>
        <v/>
      </c>
      <c r="C19" s="26">
        <f>incidence_rate</f>
        <v/>
      </c>
      <c r="D19" s="26">
        <f>1-EXP(-C19*cycle_length)</f>
        <v/>
      </c>
      <c r="E19" s="26">
        <f>1-EXP(-(gompertz_a*EXP(gompertz_b*MAX(0,B19-20)))*cycle_length)</f>
        <v/>
      </c>
      <c r="F19" s="26">
        <f>1-EXP(-excess_mortality_rate*cycle_length)</f>
        <v/>
      </c>
      <c r="G19" s="26">
        <f>IF((D19+E19)&gt;1,D19/(D19+E19),D19)</f>
        <v/>
      </c>
      <c r="H19" s="26">
        <f>IF((D19+E19)&gt;1,E19/(D19+E19),E19)</f>
        <v/>
      </c>
      <c r="I19" s="26">
        <f>MIN(1,E19+F19)</f>
        <v/>
      </c>
      <c r="J19" s="26">
        <f>J18*(1-G18-H18)</f>
        <v/>
      </c>
      <c r="K19" s="26">
        <f>J18*G18+K18*(1-I18)</f>
        <v/>
      </c>
      <c r="L19" s="26">
        <f>L18+J18*H18+K18*I18</f>
        <v/>
      </c>
      <c r="M19" s="27">
        <f>J19*(cost_well_annual)+K19*cost_disease_annual</f>
        <v/>
      </c>
      <c r="N19" s="26">
        <f>J19*utility_well+K19*utility_disease</f>
        <v/>
      </c>
      <c r="O19" s="26">
        <f>J19+K19</f>
        <v/>
      </c>
      <c r="P19" s="25">
        <f>IF(A19&gt;cycles-1,0,IF(AND(half_cycle=1,OR(A19=0,A19=cycles-1)),0.5,1))</f>
        <v/>
      </c>
      <c r="Q19" s="26">
        <f>1/(1+discount_rate)^A19</f>
        <v/>
      </c>
      <c r="R19" s="27">
        <f>M19*P19*Q19</f>
        <v/>
      </c>
      <c r="S19" s="26">
        <f>N19*P19*Q19</f>
        <v/>
      </c>
      <c r="T19" s="26">
        <f>O19*P19*Q19</f>
        <v/>
      </c>
    </row>
    <row r="20">
      <c r="A20" s="24" t="n">
        <v>16</v>
      </c>
      <c r="B20" s="25">
        <f>start_age+16</f>
        <v/>
      </c>
      <c r="C20" s="26">
        <f>incidence_rate</f>
        <v/>
      </c>
      <c r="D20" s="26">
        <f>1-EXP(-C20*cycle_length)</f>
        <v/>
      </c>
      <c r="E20" s="26">
        <f>1-EXP(-(gompertz_a*EXP(gompertz_b*MAX(0,B20-20)))*cycle_length)</f>
        <v/>
      </c>
      <c r="F20" s="26">
        <f>1-EXP(-excess_mortality_rate*cycle_length)</f>
        <v/>
      </c>
      <c r="G20" s="26">
        <f>IF((D20+E20)&gt;1,D20/(D20+E20),D20)</f>
        <v/>
      </c>
      <c r="H20" s="26">
        <f>IF((D20+E20)&gt;1,E20/(D20+E20),E20)</f>
        <v/>
      </c>
      <c r="I20" s="26">
        <f>MIN(1,E20+F20)</f>
        <v/>
      </c>
      <c r="J20" s="26">
        <f>J19*(1-G19-H19)</f>
        <v/>
      </c>
      <c r="K20" s="26">
        <f>J19*G19+K19*(1-I19)</f>
        <v/>
      </c>
      <c r="L20" s="26">
        <f>L19+J19*H19+K19*I19</f>
        <v/>
      </c>
      <c r="M20" s="27">
        <f>J20*(cost_well_annual)+K20*cost_disease_annual</f>
        <v/>
      </c>
      <c r="N20" s="26">
        <f>J20*utility_well+K20*utility_disease</f>
        <v/>
      </c>
      <c r="O20" s="26">
        <f>J20+K20</f>
        <v/>
      </c>
      <c r="P20" s="25">
        <f>IF(A20&gt;cycles-1,0,IF(AND(half_cycle=1,OR(A20=0,A20=cycles-1)),0.5,1))</f>
        <v/>
      </c>
      <c r="Q20" s="26">
        <f>1/(1+discount_rate)^A20</f>
        <v/>
      </c>
      <c r="R20" s="27">
        <f>M20*P20*Q20</f>
        <v/>
      </c>
      <c r="S20" s="26">
        <f>N20*P20*Q20</f>
        <v/>
      </c>
      <c r="T20" s="26">
        <f>O20*P20*Q20</f>
        <v/>
      </c>
    </row>
    <row r="21">
      <c r="A21" s="24" t="n">
        <v>17</v>
      </c>
      <c r="B21" s="25">
        <f>start_age+17</f>
        <v/>
      </c>
      <c r="C21" s="26">
        <f>incidence_rate</f>
        <v/>
      </c>
      <c r="D21" s="26">
        <f>1-EXP(-C21*cycle_length)</f>
        <v/>
      </c>
      <c r="E21" s="26">
        <f>1-EXP(-(gompertz_a*EXP(gompertz_b*MAX(0,B21-20)))*cycle_length)</f>
        <v/>
      </c>
      <c r="F21" s="26">
        <f>1-EXP(-excess_mortality_rate*cycle_length)</f>
        <v/>
      </c>
      <c r="G21" s="26">
        <f>IF((D21+E21)&gt;1,D21/(D21+E21),D21)</f>
        <v/>
      </c>
      <c r="H21" s="26">
        <f>IF((D21+E21)&gt;1,E21/(D21+E21),E21)</f>
        <v/>
      </c>
      <c r="I21" s="26">
        <f>MIN(1,E21+F21)</f>
        <v/>
      </c>
      <c r="J21" s="26">
        <f>J20*(1-G20-H20)</f>
        <v/>
      </c>
      <c r="K21" s="26">
        <f>J20*G20+K20*(1-I20)</f>
        <v/>
      </c>
      <c r="L21" s="26">
        <f>L20+J20*H20+K20*I20</f>
        <v/>
      </c>
      <c r="M21" s="27">
        <f>J21*(cost_well_annual)+K21*cost_disease_annual</f>
        <v/>
      </c>
      <c r="N21" s="26">
        <f>J21*utility_well+K21*utility_disease</f>
        <v/>
      </c>
      <c r="O21" s="26">
        <f>J21+K21</f>
        <v/>
      </c>
      <c r="P21" s="25">
        <f>IF(A21&gt;cycles-1,0,IF(AND(half_cycle=1,OR(A21=0,A21=cycles-1)),0.5,1))</f>
        <v/>
      </c>
      <c r="Q21" s="26">
        <f>1/(1+discount_rate)^A21</f>
        <v/>
      </c>
      <c r="R21" s="27">
        <f>M21*P21*Q21</f>
        <v/>
      </c>
      <c r="S21" s="26">
        <f>N21*P21*Q21</f>
        <v/>
      </c>
      <c r="T21" s="26">
        <f>O21*P21*Q21</f>
        <v/>
      </c>
    </row>
    <row r="22">
      <c r="A22" s="24" t="n">
        <v>18</v>
      </c>
      <c r="B22" s="25">
        <f>start_age+18</f>
        <v/>
      </c>
      <c r="C22" s="26">
        <f>incidence_rate</f>
        <v/>
      </c>
      <c r="D22" s="26">
        <f>1-EXP(-C22*cycle_length)</f>
        <v/>
      </c>
      <c r="E22" s="26">
        <f>1-EXP(-(gompertz_a*EXP(gompertz_b*MAX(0,B22-20)))*cycle_length)</f>
        <v/>
      </c>
      <c r="F22" s="26">
        <f>1-EXP(-excess_mortality_rate*cycle_length)</f>
        <v/>
      </c>
      <c r="G22" s="26">
        <f>IF((D22+E22)&gt;1,D22/(D22+E22),D22)</f>
        <v/>
      </c>
      <c r="H22" s="26">
        <f>IF((D22+E22)&gt;1,E22/(D22+E22),E22)</f>
        <v/>
      </c>
      <c r="I22" s="26">
        <f>MIN(1,E22+F22)</f>
        <v/>
      </c>
      <c r="J22" s="26">
        <f>J21*(1-G21-H21)</f>
        <v/>
      </c>
      <c r="K22" s="26">
        <f>J21*G21+K21*(1-I21)</f>
        <v/>
      </c>
      <c r="L22" s="26">
        <f>L21+J21*H21+K21*I21</f>
        <v/>
      </c>
      <c r="M22" s="27">
        <f>J22*(cost_well_annual)+K22*cost_disease_annual</f>
        <v/>
      </c>
      <c r="N22" s="26">
        <f>J22*utility_well+K22*utility_disease</f>
        <v/>
      </c>
      <c r="O22" s="26">
        <f>J22+K22</f>
        <v/>
      </c>
      <c r="P22" s="25">
        <f>IF(A22&gt;cycles-1,0,IF(AND(half_cycle=1,OR(A22=0,A22=cycles-1)),0.5,1))</f>
        <v/>
      </c>
      <c r="Q22" s="26">
        <f>1/(1+discount_rate)^A22</f>
        <v/>
      </c>
      <c r="R22" s="27">
        <f>M22*P22*Q22</f>
        <v/>
      </c>
      <c r="S22" s="26">
        <f>N22*P22*Q22</f>
        <v/>
      </c>
      <c r="T22" s="26">
        <f>O22*P22*Q22</f>
        <v/>
      </c>
    </row>
    <row r="23">
      <c r="A23" s="24" t="n">
        <v>19</v>
      </c>
      <c r="B23" s="25">
        <f>start_age+19</f>
        <v/>
      </c>
      <c r="C23" s="26">
        <f>incidence_rate</f>
        <v/>
      </c>
      <c r="D23" s="26">
        <f>1-EXP(-C23*cycle_length)</f>
        <v/>
      </c>
      <c r="E23" s="26">
        <f>1-EXP(-(gompertz_a*EXP(gompertz_b*MAX(0,B23-20)))*cycle_length)</f>
        <v/>
      </c>
      <c r="F23" s="26">
        <f>1-EXP(-excess_mortality_rate*cycle_length)</f>
        <v/>
      </c>
      <c r="G23" s="26">
        <f>IF((D23+E23)&gt;1,D23/(D23+E23),D23)</f>
        <v/>
      </c>
      <c r="H23" s="26">
        <f>IF((D23+E23)&gt;1,E23/(D23+E23),E23)</f>
        <v/>
      </c>
      <c r="I23" s="26">
        <f>MIN(1,E23+F23)</f>
        <v/>
      </c>
      <c r="J23" s="26">
        <f>J22*(1-G22-H22)</f>
        <v/>
      </c>
      <c r="K23" s="26">
        <f>J22*G22+K22*(1-I22)</f>
        <v/>
      </c>
      <c r="L23" s="26">
        <f>L22+J22*H22+K22*I22</f>
        <v/>
      </c>
      <c r="M23" s="27">
        <f>J23*(cost_well_annual)+K23*cost_disease_annual</f>
        <v/>
      </c>
      <c r="N23" s="26">
        <f>J23*utility_well+K23*utility_disease</f>
        <v/>
      </c>
      <c r="O23" s="26">
        <f>J23+K23</f>
        <v/>
      </c>
      <c r="P23" s="25">
        <f>IF(A23&gt;cycles-1,0,IF(AND(half_cycle=1,OR(A23=0,A23=cycles-1)),0.5,1))</f>
        <v/>
      </c>
      <c r="Q23" s="26">
        <f>1/(1+discount_rate)^A23</f>
        <v/>
      </c>
      <c r="R23" s="27">
        <f>M23*P23*Q23</f>
        <v/>
      </c>
      <c r="S23" s="26">
        <f>N23*P23*Q23</f>
        <v/>
      </c>
      <c r="T23" s="26">
        <f>O23*P23*Q23</f>
        <v/>
      </c>
    </row>
    <row r="24">
      <c r="A24" s="24" t="n">
        <v>20</v>
      </c>
      <c r="B24" s="25">
        <f>start_age+20</f>
        <v/>
      </c>
      <c r="C24" s="26">
        <f>incidence_rate</f>
        <v/>
      </c>
      <c r="D24" s="26">
        <f>1-EXP(-C24*cycle_length)</f>
        <v/>
      </c>
      <c r="E24" s="26">
        <f>1-EXP(-(gompertz_a*EXP(gompertz_b*MAX(0,B24-20)))*cycle_length)</f>
        <v/>
      </c>
      <c r="F24" s="26">
        <f>1-EXP(-excess_mortality_rate*cycle_length)</f>
        <v/>
      </c>
      <c r="G24" s="26">
        <f>IF((D24+E24)&gt;1,D24/(D24+E24),D24)</f>
        <v/>
      </c>
      <c r="H24" s="26">
        <f>IF((D24+E24)&gt;1,E24/(D24+E24),E24)</f>
        <v/>
      </c>
      <c r="I24" s="26">
        <f>MIN(1,E24+F24)</f>
        <v/>
      </c>
      <c r="J24" s="26">
        <f>J23*(1-G23-H23)</f>
        <v/>
      </c>
      <c r="K24" s="26">
        <f>J23*G23+K23*(1-I23)</f>
        <v/>
      </c>
      <c r="L24" s="26">
        <f>L23+J23*H23+K23*I23</f>
        <v/>
      </c>
      <c r="M24" s="27">
        <f>J24*(cost_well_annual)+K24*cost_disease_annual</f>
        <v/>
      </c>
      <c r="N24" s="26">
        <f>J24*utility_well+K24*utility_disease</f>
        <v/>
      </c>
      <c r="O24" s="26">
        <f>J24+K24</f>
        <v/>
      </c>
      <c r="P24" s="25">
        <f>IF(A24&gt;cycles-1,0,IF(AND(half_cycle=1,OR(A24=0,A24=cycles-1)),0.5,1))</f>
        <v/>
      </c>
      <c r="Q24" s="26">
        <f>1/(1+discount_rate)^A24</f>
        <v/>
      </c>
      <c r="R24" s="27">
        <f>M24*P24*Q24</f>
        <v/>
      </c>
      <c r="S24" s="26">
        <f>N24*P24*Q24</f>
        <v/>
      </c>
      <c r="T24" s="26">
        <f>O24*P24*Q24</f>
        <v/>
      </c>
    </row>
    <row r="25">
      <c r="A25" s="24" t="n">
        <v>21</v>
      </c>
      <c r="B25" s="25">
        <f>start_age+21</f>
        <v/>
      </c>
      <c r="C25" s="26">
        <f>incidence_rate</f>
        <v/>
      </c>
      <c r="D25" s="26">
        <f>1-EXP(-C25*cycle_length)</f>
        <v/>
      </c>
      <c r="E25" s="26">
        <f>1-EXP(-(gompertz_a*EXP(gompertz_b*MAX(0,B25-20)))*cycle_length)</f>
        <v/>
      </c>
      <c r="F25" s="26">
        <f>1-EXP(-excess_mortality_rate*cycle_length)</f>
        <v/>
      </c>
      <c r="G25" s="26">
        <f>IF((D25+E25)&gt;1,D25/(D25+E25),D25)</f>
        <v/>
      </c>
      <c r="H25" s="26">
        <f>IF((D25+E25)&gt;1,E25/(D25+E25),E25)</f>
        <v/>
      </c>
      <c r="I25" s="26">
        <f>MIN(1,E25+F25)</f>
        <v/>
      </c>
      <c r="J25" s="26">
        <f>J24*(1-G24-H24)</f>
        <v/>
      </c>
      <c r="K25" s="26">
        <f>J24*G24+K24*(1-I24)</f>
        <v/>
      </c>
      <c r="L25" s="26">
        <f>L24+J24*H24+K24*I24</f>
        <v/>
      </c>
      <c r="M25" s="27">
        <f>J25*(cost_well_annual)+K25*cost_disease_annual</f>
        <v/>
      </c>
      <c r="N25" s="26">
        <f>J25*utility_well+K25*utility_disease</f>
        <v/>
      </c>
      <c r="O25" s="26">
        <f>J25+K25</f>
        <v/>
      </c>
      <c r="P25" s="25">
        <f>IF(A25&gt;cycles-1,0,IF(AND(half_cycle=1,OR(A25=0,A25=cycles-1)),0.5,1))</f>
        <v/>
      </c>
      <c r="Q25" s="26">
        <f>1/(1+discount_rate)^A25</f>
        <v/>
      </c>
      <c r="R25" s="27">
        <f>M25*P25*Q25</f>
        <v/>
      </c>
      <c r="S25" s="26">
        <f>N25*P25*Q25</f>
        <v/>
      </c>
      <c r="T25" s="26">
        <f>O25*P25*Q25</f>
        <v/>
      </c>
    </row>
    <row r="26">
      <c r="A26" s="24" t="n">
        <v>22</v>
      </c>
      <c r="B26" s="25">
        <f>start_age+22</f>
        <v/>
      </c>
      <c r="C26" s="26">
        <f>incidence_rate</f>
        <v/>
      </c>
      <c r="D26" s="26">
        <f>1-EXP(-C26*cycle_length)</f>
        <v/>
      </c>
      <c r="E26" s="26">
        <f>1-EXP(-(gompertz_a*EXP(gompertz_b*MAX(0,B26-20)))*cycle_length)</f>
        <v/>
      </c>
      <c r="F26" s="26">
        <f>1-EXP(-excess_mortality_rate*cycle_length)</f>
        <v/>
      </c>
      <c r="G26" s="26">
        <f>IF((D26+E26)&gt;1,D26/(D26+E26),D26)</f>
        <v/>
      </c>
      <c r="H26" s="26">
        <f>IF((D26+E26)&gt;1,E26/(D26+E26),E26)</f>
        <v/>
      </c>
      <c r="I26" s="26">
        <f>MIN(1,E26+F26)</f>
        <v/>
      </c>
      <c r="J26" s="26">
        <f>J25*(1-G25-H25)</f>
        <v/>
      </c>
      <c r="K26" s="26">
        <f>J25*G25+K25*(1-I25)</f>
        <v/>
      </c>
      <c r="L26" s="26">
        <f>L25+J25*H25+K25*I25</f>
        <v/>
      </c>
      <c r="M26" s="27">
        <f>J26*(cost_well_annual)+K26*cost_disease_annual</f>
        <v/>
      </c>
      <c r="N26" s="26">
        <f>J26*utility_well+K26*utility_disease</f>
        <v/>
      </c>
      <c r="O26" s="26">
        <f>J26+K26</f>
        <v/>
      </c>
      <c r="P26" s="25">
        <f>IF(A26&gt;cycles-1,0,IF(AND(half_cycle=1,OR(A26=0,A26=cycles-1)),0.5,1))</f>
        <v/>
      </c>
      <c r="Q26" s="26">
        <f>1/(1+discount_rate)^A26</f>
        <v/>
      </c>
      <c r="R26" s="27">
        <f>M26*P26*Q26</f>
        <v/>
      </c>
      <c r="S26" s="26">
        <f>N26*P26*Q26</f>
        <v/>
      </c>
      <c r="T26" s="26">
        <f>O26*P26*Q26</f>
        <v/>
      </c>
    </row>
    <row r="27">
      <c r="A27" s="24" t="n">
        <v>23</v>
      </c>
      <c r="B27" s="25">
        <f>start_age+23</f>
        <v/>
      </c>
      <c r="C27" s="26">
        <f>incidence_rate</f>
        <v/>
      </c>
      <c r="D27" s="26">
        <f>1-EXP(-C27*cycle_length)</f>
        <v/>
      </c>
      <c r="E27" s="26">
        <f>1-EXP(-(gompertz_a*EXP(gompertz_b*MAX(0,B27-20)))*cycle_length)</f>
        <v/>
      </c>
      <c r="F27" s="26">
        <f>1-EXP(-excess_mortality_rate*cycle_length)</f>
        <v/>
      </c>
      <c r="G27" s="26">
        <f>IF((D27+E27)&gt;1,D27/(D27+E27),D27)</f>
        <v/>
      </c>
      <c r="H27" s="26">
        <f>IF((D27+E27)&gt;1,E27/(D27+E27),E27)</f>
        <v/>
      </c>
      <c r="I27" s="26">
        <f>MIN(1,E27+F27)</f>
        <v/>
      </c>
      <c r="J27" s="26">
        <f>J26*(1-G26-H26)</f>
        <v/>
      </c>
      <c r="K27" s="26">
        <f>J26*G26+K26*(1-I26)</f>
        <v/>
      </c>
      <c r="L27" s="26">
        <f>L26+J26*H26+K26*I26</f>
        <v/>
      </c>
      <c r="M27" s="27">
        <f>J27*(cost_well_annual)+K27*cost_disease_annual</f>
        <v/>
      </c>
      <c r="N27" s="26">
        <f>J27*utility_well+K27*utility_disease</f>
        <v/>
      </c>
      <c r="O27" s="26">
        <f>J27+K27</f>
        <v/>
      </c>
      <c r="P27" s="25">
        <f>IF(A27&gt;cycles-1,0,IF(AND(half_cycle=1,OR(A27=0,A27=cycles-1)),0.5,1))</f>
        <v/>
      </c>
      <c r="Q27" s="26">
        <f>1/(1+discount_rate)^A27</f>
        <v/>
      </c>
      <c r="R27" s="27">
        <f>M27*P27*Q27</f>
        <v/>
      </c>
      <c r="S27" s="26">
        <f>N27*P27*Q27</f>
        <v/>
      </c>
      <c r="T27" s="26">
        <f>O27*P27*Q27</f>
        <v/>
      </c>
    </row>
    <row r="28">
      <c r="A28" s="24" t="n">
        <v>24</v>
      </c>
      <c r="B28" s="25">
        <f>start_age+24</f>
        <v/>
      </c>
      <c r="C28" s="26">
        <f>incidence_rate</f>
        <v/>
      </c>
      <c r="D28" s="26">
        <f>1-EXP(-C28*cycle_length)</f>
        <v/>
      </c>
      <c r="E28" s="26">
        <f>1-EXP(-(gompertz_a*EXP(gompertz_b*MAX(0,B28-20)))*cycle_length)</f>
        <v/>
      </c>
      <c r="F28" s="26">
        <f>1-EXP(-excess_mortality_rate*cycle_length)</f>
        <v/>
      </c>
      <c r="G28" s="26">
        <f>IF((D28+E28)&gt;1,D28/(D28+E28),D28)</f>
        <v/>
      </c>
      <c r="H28" s="26">
        <f>IF((D28+E28)&gt;1,E28/(D28+E28),E28)</f>
        <v/>
      </c>
      <c r="I28" s="26">
        <f>MIN(1,E28+F28)</f>
        <v/>
      </c>
      <c r="J28" s="26">
        <f>J27*(1-G27-H27)</f>
        <v/>
      </c>
      <c r="K28" s="26">
        <f>J27*G27+K27*(1-I27)</f>
        <v/>
      </c>
      <c r="L28" s="26">
        <f>L27+J27*H27+K27*I27</f>
        <v/>
      </c>
      <c r="M28" s="27">
        <f>J28*(cost_well_annual)+K28*cost_disease_annual</f>
        <v/>
      </c>
      <c r="N28" s="26">
        <f>J28*utility_well+K28*utility_disease</f>
        <v/>
      </c>
      <c r="O28" s="26">
        <f>J28+K28</f>
        <v/>
      </c>
      <c r="P28" s="25">
        <f>IF(A28&gt;cycles-1,0,IF(AND(half_cycle=1,OR(A28=0,A28=cycles-1)),0.5,1))</f>
        <v/>
      </c>
      <c r="Q28" s="26">
        <f>1/(1+discount_rate)^A28</f>
        <v/>
      </c>
      <c r="R28" s="27">
        <f>M28*P28*Q28</f>
        <v/>
      </c>
      <c r="S28" s="26">
        <f>N28*P28*Q28</f>
        <v/>
      </c>
      <c r="T28" s="26">
        <f>O28*P28*Q28</f>
        <v/>
      </c>
    </row>
    <row r="29">
      <c r="A29" s="24" t="n">
        <v>25</v>
      </c>
      <c r="B29" s="25">
        <f>start_age+25</f>
        <v/>
      </c>
      <c r="C29" s="26">
        <f>incidence_rate</f>
        <v/>
      </c>
      <c r="D29" s="26">
        <f>1-EXP(-C29*cycle_length)</f>
        <v/>
      </c>
      <c r="E29" s="26">
        <f>1-EXP(-(gompertz_a*EXP(gompertz_b*MAX(0,B29-20)))*cycle_length)</f>
        <v/>
      </c>
      <c r="F29" s="26">
        <f>1-EXP(-excess_mortality_rate*cycle_length)</f>
        <v/>
      </c>
      <c r="G29" s="26">
        <f>IF((D29+E29)&gt;1,D29/(D29+E29),D29)</f>
        <v/>
      </c>
      <c r="H29" s="26">
        <f>IF((D29+E29)&gt;1,E29/(D29+E29),E29)</f>
        <v/>
      </c>
      <c r="I29" s="26">
        <f>MIN(1,E29+F29)</f>
        <v/>
      </c>
      <c r="J29" s="26">
        <f>J28*(1-G28-H28)</f>
        <v/>
      </c>
      <c r="K29" s="26">
        <f>J28*G28+K28*(1-I28)</f>
        <v/>
      </c>
      <c r="L29" s="26">
        <f>L28+J28*H28+K28*I28</f>
        <v/>
      </c>
      <c r="M29" s="27">
        <f>J29*(cost_well_annual)+K29*cost_disease_annual</f>
        <v/>
      </c>
      <c r="N29" s="26">
        <f>J29*utility_well+K29*utility_disease</f>
        <v/>
      </c>
      <c r="O29" s="26">
        <f>J29+K29</f>
        <v/>
      </c>
      <c r="P29" s="25">
        <f>IF(A29&gt;cycles-1,0,IF(AND(half_cycle=1,OR(A29=0,A29=cycles-1)),0.5,1))</f>
        <v/>
      </c>
      <c r="Q29" s="26">
        <f>1/(1+discount_rate)^A29</f>
        <v/>
      </c>
      <c r="R29" s="27">
        <f>M29*P29*Q29</f>
        <v/>
      </c>
      <c r="S29" s="26">
        <f>N29*P29*Q29</f>
        <v/>
      </c>
      <c r="T29" s="26">
        <f>O29*P29*Q29</f>
        <v/>
      </c>
    </row>
    <row r="30">
      <c r="A30" s="24" t="n">
        <v>26</v>
      </c>
      <c r="B30" s="25">
        <f>start_age+26</f>
        <v/>
      </c>
      <c r="C30" s="26">
        <f>incidence_rate</f>
        <v/>
      </c>
      <c r="D30" s="26">
        <f>1-EXP(-C30*cycle_length)</f>
        <v/>
      </c>
      <c r="E30" s="26">
        <f>1-EXP(-(gompertz_a*EXP(gompertz_b*MAX(0,B30-20)))*cycle_length)</f>
        <v/>
      </c>
      <c r="F30" s="26">
        <f>1-EXP(-excess_mortality_rate*cycle_length)</f>
        <v/>
      </c>
      <c r="G30" s="26">
        <f>IF((D30+E30)&gt;1,D30/(D30+E30),D30)</f>
        <v/>
      </c>
      <c r="H30" s="26">
        <f>IF((D30+E30)&gt;1,E30/(D30+E30),E30)</f>
        <v/>
      </c>
      <c r="I30" s="26">
        <f>MIN(1,E30+F30)</f>
        <v/>
      </c>
      <c r="J30" s="26">
        <f>J29*(1-G29-H29)</f>
        <v/>
      </c>
      <c r="K30" s="26">
        <f>J29*G29+K29*(1-I29)</f>
        <v/>
      </c>
      <c r="L30" s="26">
        <f>L29+J29*H29+K29*I29</f>
        <v/>
      </c>
      <c r="M30" s="27">
        <f>J30*(cost_well_annual)+K30*cost_disease_annual</f>
        <v/>
      </c>
      <c r="N30" s="26">
        <f>J30*utility_well+K30*utility_disease</f>
        <v/>
      </c>
      <c r="O30" s="26">
        <f>J30+K30</f>
        <v/>
      </c>
      <c r="P30" s="25">
        <f>IF(A30&gt;cycles-1,0,IF(AND(half_cycle=1,OR(A30=0,A30=cycles-1)),0.5,1))</f>
        <v/>
      </c>
      <c r="Q30" s="26">
        <f>1/(1+discount_rate)^A30</f>
        <v/>
      </c>
      <c r="R30" s="27">
        <f>M30*P30*Q30</f>
        <v/>
      </c>
      <c r="S30" s="26">
        <f>N30*P30*Q30</f>
        <v/>
      </c>
      <c r="T30" s="26">
        <f>O30*P30*Q30</f>
        <v/>
      </c>
    </row>
    <row r="31">
      <c r="A31" s="24" t="n">
        <v>27</v>
      </c>
      <c r="B31" s="25">
        <f>start_age+27</f>
        <v/>
      </c>
      <c r="C31" s="26">
        <f>incidence_rate</f>
        <v/>
      </c>
      <c r="D31" s="26">
        <f>1-EXP(-C31*cycle_length)</f>
        <v/>
      </c>
      <c r="E31" s="26">
        <f>1-EXP(-(gompertz_a*EXP(gompertz_b*MAX(0,B31-20)))*cycle_length)</f>
        <v/>
      </c>
      <c r="F31" s="26">
        <f>1-EXP(-excess_mortality_rate*cycle_length)</f>
        <v/>
      </c>
      <c r="G31" s="26">
        <f>IF((D31+E31)&gt;1,D31/(D31+E31),D31)</f>
        <v/>
      </c>
      <c r="H31" s="26">
        <f>IF((D31+E31)&gt;1,E31/(D31+E31),E31)</f>
        <v/>
      </c>
      <c r="I31" s="26">
        <f>MIN(1,E31+F31)</f>
        <v/>
      </c>
      <c r="J31" s="26">
        <f>J30*(1-G30-H30)</f>
        <v/>
      </c>
      <c r="K31" s="26">
        <f>J30*G30+K30*(1-I30)</f>
        <v/>
      </c>
      <c r="L31" s="26">
        <f>L30+J30*H30+K30*I30</f>
        <v/>
      </c>
      <c r="M31" s="27">
        <f>J31*(cost_well_annual)+K31*cost_disease_annual</f>
        <v/>
      </c>
      <c r="N31" s="26">
        <f>J31*utility_well+K31*utility_disease</f>
        <v/>
      </c>
      <c r="O31" s="26">
        <f>J31+K31</f>
        <v/>
      </c>
      <c r="P31" s="25">
        <f>IF(A31&gt;cycles-1,0,IF(AND(half_cycle=1,OR(A31=0,A31=cycles-1)),0.5,1))</f>
        <v/>
      </c>
      <c r="Q31" s="26">
        <f>1/(1+discount_rate)^A31</f>
        <v/>
      </c>
      <c r="R31" s="27">
        <f>M31*P31*Q31</f>
        <v/>
      </c>
      <c r="S31" s="26">
        <f>N31*P31*Q31</f>
        <v/>
      </c>
      <c r="T31" s="26">
        <f>O31*P31*Q31</f>
        <v/>
      </c>
    </row>
    <row r="32">
      <c r="A32" s="24" t="n">
        <v>28</v>
      </c>
      <c r="B32" s="25">
        <f>start_age+28</f>
        <v/>
      </c>
      <c r="C32" s="26">
        <f>incidence_rate</f>
        <v/>
      </c>
      <c r="D32" s="26">
        <f>1-EXP(-C32*cycle_length)</f>
        <v/>
      </c>
      <c r="E32" s="26">
        <f>1-EXP(-(gompertz_a*EXP(gompertz_b*MAX(0,B32-20)))*cycle_length)</f>
        <v/>
      </c>
      <c r="F32" s="26">
        <f>1-EXP(-excess_mortality_rate*cycle_length)</f>
        <v/>
      </c>
      <c r="G32" s="26">
        <f>IF((D32+E32)&gt;1,D32/(D32+E32),D32)</f>
        <v/>
      </c>
      <c r="H32" s="26">
        <f>IF((D32+E32)&gt;1,E32/(D32+E32),E32)</f>
        <v/>
      </c>
      <c r="I32" s="26">
        <f>MIN(1,E32+F32)</f>
        <v/>
      </c>
      <c r="J32" s="26">
        <f>J31*(1-G31-H31)</f>
        <v/>
      </c>
      <c r="K32" s="26">
        <f>J31*G31+K31*(1-I31)</f>
        <v/>
      </c>
      <c r="L32" s="26">
        <f>L31+J31*H31+K31*I31</f>
        <v/>
      </c>
      <c r="M32" s="27">
        <f>J32*(cost_well_annual)+K32*cost_disease_annual</f>
        <v/>
      </c>
      <c r="N32" s="26">
        <f>J32*utility_well+K32*utility_disease</f>
        <v/>
      </c>
      <c r="O32" s="26">
        <f>J32+K32</f>
        <v/>
      </c>
      <c r="P32" s="25">
        <f>IF(A32&gt;cycles-1,0,IF(AND(half_cycle=1,OR(A32=0,A32=cycles-1)),0.5,1))</f>
        <v/>
      </c>
      <c r="Q32" s="26">
        <f>1/(1+discount_rate)^A32</f>
        <v/>
      </c>
      <c r="R32" s="27">
        <f>M32*P32*Q32</f>
        <v/>
      </c>
      <c r="S32" s="26">
        <f>N32*P32*Q32</f>
        <v/>
      </c>
      <c r="T32" s="26">
        <f>O32*P32*Q32</f>
        <v/>
      </c>
    </row>
    <row r="33">
      <c r="A33" s="24" t="n">
        <v>29</v>
      </c>
      <c r="B33" s="25">
        <f>start_age+29</f>
        <v/>
      </c>
      <c r="C33" s="26">
        <f>incidence_rate</f>
        <v/>
      </c>
      <c r="D33" s="26">
        <f>1-EXP(-C33*cycle_length)</f>
        <v/>
      </c>
      <c r="E33" s="26">
        <f>1-EXP(-(gompertz_a*EXP(gompertz_b*MAX(0,B33-20)))*cycle_length)</f>
        <v/>
      </c>
      <c r="F33" s="26">
        <f>1-EXP(-excess_mortality_rate*cycle_length)</f>
        <v/>
      </c>
      <c r="G33" s="26">
        <f>IF((D33+E33)&gt;1,D33/(D33+E33),D33)</f>
        <v/>
      </c>
      <c r="H33" s="26">
        <f>IF((D33+E33)&gt;1,E33/(D33+E33),E33)</f>
        <v/>
      </c>
      <c r="I33" s="26">
        <f>MIN(1,E33+F33)</f>
        <v/>
      </c>
      <c r="J33" s="26">
        <f>J32*(1-G32-H32)</f>
        <v/>
      </c>
      <c r="K33" s="26">
        <f>J32*G32+K32*(1-I32)</f>
        <v/>
      </c>
      <c r="L33" s="26">
        <f>L32+J32*H32+K32*I32</f>
        <v/>
      </c>
      <c r="M33" s="27">
        <f>J33*(cost_well_annual)+K33*cost_disease_annual</f>
        <v/>
      </c>
      <c r="N33" s="26">
        <f>J33*utility_well+K33*utility_disease</f>
        <v/>
      </c>
      <c r="O33" s="26">
        <f>J33+K33</f>
        <v/>
      </c>
      <c r="P33" s="25">
        <f>IF(A33&gt;cycles-1,0,IF(AND(half_cycle=1,OR(A33=0,A33=cycles-1)),0.5,1))</f>
        <v/>
      </c>
      <c r="Q33" s="26">
        <f>1/(1+discount_rate)^A33</f>
        <v/>
      </c>
      <c r="R33" s="27">
        <f>M33*P33*Q33</f>
        <v/>
      </c>
      <c r="S33" s="26">
        <f>N33*P33*Q33</f>
        <v/>
      </c>
      <c r="T33" s="26">
        <f>O33*P33*Q33</f>
        <v/>
      </c>
    </row>
    <row r="34">
      <c r="A34" s="24" t="n">
        <v>30</v>
      </c>
      <c r="B34" s="25">
        <f>start_age+30</f>
        <v/>
      </c>
      <c r="C34" s="26">
        <f>incidence_rate</f>
        <v/>
      </c>
      <c r="D34" s="26">
        <f>1-EXP(-C34*cycle_length)</f>
        <v/>
      </c>
      <c r="E34" s="26">
        <f>1-EXP(-(gompertz_a*EXP(gompertz_b*MAX(0,B34-20)))*cycle_length)</f>
        <v/>
      </c>
      <c r="F34" s="26">
        <f>1-EXP(-excess_mortality_rate*cycle_length)</f>
        <v/>
      </c>
      <c r="G34" s="26">
        <f>IF((D34+E34)&gt;1,D34/(D34+E34),D34)</f>
        <v/>
      </c>
      <c r="H34" s="26">
        <f>IF((D34+E34)&gt;1,E34/(D34+E34),E34)</f>
        <v/>
      </c>
      <c r="I34" s="26">
        <f>MIN(1,E34+F34)</f>
        <v/>
      </c>
      <c r="J34" s="26">
        <f>J33*(1-G33-H33)</f>
        <v/>
      </c>
      <c r="K34" s="26">
        <f>J33*G33+K33*(1-I33)</f>
        <v/>
      </c>
      <c r="L34" s="26">
        <f>L33+J33*H33+K33*I33</f>
        <v/>
      </c>
      <c r="M34" s="27">
        <f>J34*(cost_well_annual)+K34*cost_disease_annual</f>
        <v/>
      </c>
      <c r="N34" s="26">
        <f>J34*utility_well+K34*utility_disease</f>
        <v/>
      </c>
      <c r="O34" s="26">
        <f>J34+K34</f>
        <v/>
      </c>
      <c r="P34" s="25">
        <f>IF(A34&gt;cycles-1,0,IF(AND(half_cycle=1,OR(A34=0,A34=cycles-1)),0.5,1))</f>
        <v/>
      </c>
      <c r="Q34" s="26">
        <f>1/(1+discount_rate)^A34</f>
        <v/>
      </c>
      <c r="R34" s="27">
        <f>M34*P34*Q34</f>
        <v/>
      </c>
      <c r="S34" s="26">
        <f>N34*P34*Q34</f>
        <v/>
      </c>
      <c r="T34" s="26">
        <f>O34*P34*Q34</f>
        <v/>
      </c>
    </row>
    <row r="35">
      <c r="A35" s="24" t="n">
        <v>31</v>
      </c>
      <c r="B35" s="25">
        <f>start_age+31</f>
        <v/>
      </c>
      <c r="C35" s="26">
        <f>incidence_rate</f>
        <v/>
      </c>
      <c r="D35" s="26">
        <f>1-EXP(-C35*cycle_length)</f>
        <v/>
      </c>
      <c r="E35" s="26">
        <f>1-EXP(-(gompertz_a*EXP(gompertz_b*MAX(0,B35-20)))*cycle_length)</f>
        <v/>
      </c>
      <c r="F35" s="26">
        <f>1-EXP(-excess_mortality_rate*cycle_length)</f>
        <v/>
      </c>
      <c r="G35" s="26">
        <f>IF((D35+E35)&gt;1,D35/(D35+E35),D35)</f>
        <v/>
      </c>
      <c r="H35" s="26">
        <f>IF((D35+E35)&gt;1,E35/(D35+E35),E35)</f>
        <v/>
      </c>
      <c r="I35" s="26">
        <f>MIN(1,E35+F35)</f>
        <v/>
      </c>
      <c r="J35" s="26">
        <f>J34*(1-G34-H34)</f>
        <v/>
      </c>
      <c r="K35" s="26">
        <f>J34*G34+K34*(1-I34)</f>
        <v/>
      </c>
      <c r="L35" s="26">
        <f>L34+J34*H34+K34*I34</f>
        <v/>
      </c>
      <c r="M35" s="27">
        <f>J35*(cost_well_annual)+K35*cost_disease_annual</f>
        <v/>
      </c>
      <c r="N35" s="26">
        <f>J35*utility_well+K35*utility_disease</f>
        <v/>
      </c>
      <c r="O35" s="26">
        <f>J35+K35</f>
        <v/>
      </c>
      <c r="P35" s="25">
        <f>IF(A35&gt;cycles-1,0,IF(AND(half_cycle=1,OR(A35=0,A35=cycles-1)),0.5,1))</f>
        <v/>
      </c>
      <c r="Q35" s="26">
        <f>1/(1+discount_rate)^A35</f>
        <v/>
      </c>
      <c r="R35" s="27">
        <f>M35*P35*Q35</f>
        <v/>
      </c>
      <c r="S35" s="26">
        <f>N35*P35*Q35</f>
        <v/>
      </c>
      <c r="T35" s="26">
        <f>O35*P35*Q35</f>
        <v/>
      </c>
    </row>
    <row r="36">
      <c r="A36" s="24" t="n">
        <v>32</v>
      </c>
      <c r="B36" s="25">
        <f>start_age+32</f>
        <v/>
      </c>
      <c r="C36" s="26">
        <f>incidence_rate</f>
        <v/>
      </c>
      <c r="D36" s="26">
        <f>1-EXP(-C36*cycle_length)</f>
        <v/>
      </c>
      <c r="E36" s="26">
        <f>1-EXP(-(gompertz_a*EXP(gompertz_b*MAX(0,B36-20)))*cycle_length)</f>
        <v/>
      </c>
      <c r="F36" s="26">
        <f>1-EXP(-excess_mortality_rate*cycle_length)</f>
        <v/>
      </c>
      <c r="G36" s="26">
        <f>IF((D36+E36)&gt;1,D36/(D36+E36),D36)</f>
        <v/>
      </c>
      <c r="H36" s="26">
        <f>IF((D36+E36)&gt;1,E36/(D36+E36),E36)</f>
        <v/>
      </c>
      <c r="I36" s="26">
        <f>MIN(1,E36+F36)</f>
        <v/>
      </c>
      <c r="J36" s="26">
        <f>J35*(1-G35-H35)</f>
        <v/>
      </c>
      <c r="K36" s="26">
        <f>J35*G35+K35*(1-I35)</f>
        <v/>
      </c>
      <c r="L36" s="26">
        <f>L35+J35*H35+K35*I35</f>
        <v/>
      </c>
      <c r="M36" s="27">
        <f>J36*(cost_well_annual)+K36*cost_disease_annual</f>
        <v/>
      </c>
      <c r="N36" s="26">
        <f>J36*utility_well+K36*utility_disease</f>
        <v/>
      </c>
      <c r="O36" s="26">
        <f>J36+K36</f>
        <v/>
      </c>
      <c r="P36" s="25">
        <f>IF(A36&gt;cycles-1,0,IF(AND(half_cycle=1,OR(A36=0,A36=cycles-1)),0.5,1))</f>
        <v/>
      </c>
      <c r="Q36" s="26">
        <f>1/(1+discount_rate)^A36</f>
        <v/>
      </c>
      <c r="R36" s="27">
        <f>M36*P36*Q36</f>
        <v/>
      </c>
      <c r="S36" s="26">
        <f>N36*P36*Q36</f>
        <v/>
      </c>
      <c r="T36" s="26">
        <f>O36*P36*Q36</f>
        <v/>
      </c>
    </row>
    <row r="37">
      <c r="A37" s="24" t="n">
        <v>33</v>
      </c>
      <c r="B37" s="25">
        <f>start_age+33</f>
        <v/>
      </c>
      <c r="C37" s="26">
        <f>incidence_rate</f>
        <v/>
      </c>
      <c r="D37" s="26">
        <f>1-EXP(-C37*cycle_length)</f>
        <v/>
      </c>
      <c r="E37" s="26">
        <f>1-EXP(-(gompertz_a*EXP(gompertz_b*MAX(0,B37-20)))*cycle_length)</f>
        <v/>
      </c>
      <c r="F37" s="26">
        <f>1-EXP(-excess_mortality_rate*cycle_length)</f>
        <v/>
      </c>
      <c r="G37" s="26">
        <f>IF((D37+E37)&gt;1,D37/(D37+E37),D37)</f>
        <v/>
      </c>
      <c r="H37" s="26">
        <f>IF((D37+E37)&gt;1,E37/(D37+E37),E37)</f>
        <v/>
      </c>
      <c r="I37" s="26">
        <f>MIN(1,E37+F37)</f>
        <v/>
      </c>
      <c r="J37" s="26">
        <f>J36*(1-G36-H36)</f>
        <v/>
      </c>
      <c r="K37" s="26">
        <f>J36*G36+K36*(1-I36)</f>
        <v/>
      </c>
      <c r="L37" s="26">
        <f>L36+J36*H36+K36*I36</f>
        <v/>
      </c>
      <c r="M37" s="27">
        <f>J37*(cost_well_annual)+K37*cost_disease_annual</f>
        <v/>
      </c>
      <c r="N37" s="26">
        <f>J37*utility_well+K37*utility_disease</f>
        <v/>
      </c>
      <c r="O37" s="26">
        <f>J37+K37</f>
        <v/>
      </c>
      <c r="P37" s="25">
        <f>IF(A37&gt;cycles-1,0,IF(AND(half_cycle=1,OR(A37=0,A37=cycles-1)),0.5,1))</f>
        <v/>
      </c>
      <c r="Q37" s="26">
        <f>1/(1+discount_rate)^A37</f>
        <v/>
      </c>
      <c r="R37" s="27">
        <f>M37*P37*Q37</f>
        <v/>
      </c>
      <c r="S37" s="26">
        <f>N37*P37*Q37</f>
        <v/>
      </c>
      <c r="T37" s="26">
        <f>O37*P37*Q37</f>
        <v/>
      </c>
    </row>
    <row r="38">
      <c r="A38" s="24" t="n">
        <v>34</v>
      </c>
      <c r="B38" s="25">
        <f>start_age+34</f>
        <v/>
      </c>
      <c r="C38" s="26">
        <f>incidence_rate</f>
        <v/>
      </c>
      <c r="D38" s="26">
        <f>1-EXP(-C38*cycle_length)</f>
        <v/>
      </c>
      <c r="E38" s="26">
        <f>1-EXP(-(gompertz_a*EXP(gompertz_b*MAX(0,B38-20)))*cycle_length)</f>
        <v/>
      </c>
      <c r="F38" s="26">
        <f>1-EXP(-excess_mortality_rate*cycle_length)</f>
        <v/>
      </c>
      <c r="G38" s="26">
        <f>IF((D38+E38)&gt;1,D38/(D38+E38),D38)</f>
        <v/>
      </c>
      <c r="H38" s="26">
        <f>IF((D38+E38)&gt;1,E38/(D38+E38),E38)</f>
        <v/>
      </c>
      <c r="I38" s="26">
        <f>MIN(1,E38+F38)</f>
        <v/>
      </c>
      <c r="J38" s="26">
        <f>J37*(1-G37-H37)</f>
        <v/>
      </c>
      <c r="K38" s="26">
        <f>J37*G37+K37*(1-I37)</f>
        <v/>
      </c>
      <c r="L38" s="26">
        <f>L37+J37*H37+K37*I37</f>
        <v/>
      </c>
      <c r="M38" s="27">
        <f>J38*(cost_well_annual)+K38*cost_disease_annual</f>
        <v/>
      </c>
      <c r="N38" s="26">
        <f>J38*utility_well+K38*utility_disease</f>
        <v/>
      </c>
      <c r="O38" s="26">
        <f>J38+K38</f>
        <v/>
      </c>
      <c r="P38" s="25">
        <f>IF(A38&gt;cycles-1,0,IF(AND(half_cycle=1,OR(A38=0,A38=cycles-1)),0.5,1))</f>
        <v/>
      </c>
      <c r="Q38" s="26">
        <f>1/(1+discount_rate)^A38</f>
        <v/>
      </c>
      <c r="R38" s="27">
        <f>M38*P38*Q38</f>
        <v/>
      </c>
      <c r="S38" s="26">
        <f>N38*P38*Q38</f>
        <v/>
      </c>
      <c r="T38" s="26">
        <f>O38*P38*Q38</f>
        <v/>
      </c>
    </row>
    <row r="39">
      <c r="A39" s="24" t="n">
        <v>35</v>
      </c>
      <c r="B39" s="25">
        <f>start_age+35</f>
        <v/>
      </c>
      <c r="C39" s="26">
        <f>incidence_rate</f>
        <v/>
      </c>
      <c r="D39" s="26">
        <f>1-EXP(-C39*cycle_length)</f>
        <v/>
      </c>
      <c r="E39" s="26">
        <f>1-EXP(-(gompertz_a*EXP(gompertz_b*MAX(0,B39-20)))*cycle_length)</f>
        <v/>
      </c>
      <c r="F39" s="26">
        <f>1-EXP(-excess_mortality_rate*cycle_length)</f>
        <v/>
      </c>
      <c r="G39" s="26">
        <f>IF((D39+E39)&gt;1,D39/(D39+E39),D39)</f>
        <v/>
      </c>
      <c r="H39" s="26">
        <f>IF((D39+E39)&gt;1,E39/(D39+E39),E39)</f>
        <v/>
      </c>
      <c r="I39" s="26">
        <f>MIN(1,E39+F39)</f>
        <v/>
      </c>
      <c r="J39" s="26">
        <f>J38*(1-G38-H38)</f>
        <v/>
      </c>
      <c r="K39" s="26">
        <f>J38*G38+K38*(1-I38)</f>
        <v/>
      </c>
      <c r="L39" s="26">
        <f>L38+J38*H38+K38*I38</f>
        <v/>
      </c>
      <c r="M39" s="27">
        <f>J39*(cost_well_annual)+K39*cost_disease_annual</f>
        <v/>
      </c>
      <c r="N39" s="26">
        <f>J39*utility_well+K39*utility_disease</f>
        <v/>
      </c>
      <c r="O39" s="26">
        <f>J39+K39</f>
        <v/>
      </c>
      <c r="P39" s="25">
        <f>IF(A39&gt;cycles-1,0,IF(AND(half_cycle=1,OR(A39=0,A39=cycles-1)),0.5,1))</f>
        <v/>
      </c>
      <c r="Q39" s="26">
        <f>1/(1+discount_rate)^A39</f>
        <v/>
      </c>
      <c r="R39" s="27">
        <f>M39*P39*Q39</f>
        <v/>
      </c>
      <c r="S39" s="26">
        <f>N39*P39*Q39</f>
        <v/>
      </c>
      <c r="T39" s="26">
        <f>O39*P39*Q39</f>
        <v/>
      </c>
    </row>
    <row r="40">
      <c r="A40" s="24" t="n">
        <v>36</v>
      </c>
      <c r="B40" s="25">
        <f>start_age+36</f>
        <v/>
      </c>
      <c r="C40" s="26">
        <f>incidence_rate</f>
        <v/>
      </c>
      <c r="D40" s="26">
        <f>1-EXP(-C40*cycle_length)</f>
        <v/>
      </c>
      <c r="E40" s="26">
        <f>1-EXP(-(gompertz_a*EXP(gompertz_b*MAX(0,B40-20)))*cycle_length)</f>
        <v/>
      </c>
      <c r="F40" s="26">
        <f>1-EXP(-excess_mortality_rate*cycle_length)</f>
        <v/>
      </c>
      <c r="G40" s="26">
        <f>IF((D40+E40)&gt;1,D40/(D40+E40),D40)</f>
        <v/>
      </c>
      <c r="H40" s="26">
        <f>IF((D40+E40)&gt;1,E40/(D40+E40),E40)</f>
        <v/>
      </c>
      <c r="I40" s="26">
        <f>MIN(1,E40+F40)</f>
        <v/>
      </c>
      <c r="J40" s="26">
        <f>J39*(1-G39-H39)</f>
        <v/>
      </c>
      <c r="K40" s="26">
        <f>J39*G39+K39*(1-I39)</f>
        <v/>
      </c>
      <c r="L40" s="26">
        <f>L39+J39*H39+K39*I39</f>
        <v/>
      </c>
      <c r="M40" s="27">
        <f>J40*(cost_well_annual)+K40*cost_disease_annual</f>
        <v/>
      </c>
      <c r="N40" s="26">
        <f>J40*utility_well+K40*utility_disease</f>
        <v/>
      </c>
      <c r="O40" s="26">
        <f>J40+K40</f>
        <v/>
      </c>
      <c r="P40" s="25">
        <f>IF(A40&gt;cycles-1,0,IF(AND(half_cycle=1,OR(A40=0,A40=cycles-1)),0.5,1))</f>
        <v/>
      </c>
      <c r="Q40" s="26">
        <f>1/(1+discount_rate)^A40</f>
        <v/>
      </c>
      <c r="R40" s="27">
        <f>M40*P40*Q40</f>
        <v/>
      </c>
      <c r="S40" s="26">
        <f>N40*P40*Q40</f>
        <v/>
      </c>
      <c r="T40" s="26">
        <f>O40*P40*Q40</f>
        <v/>
      </c>
    </row>
    <row r="41">
      <c r="A41" s="24" t="n">
        <v>37</v>
      </c>
      <c r="B41" s="25">
        <f>start_age+37</f>
        <v/>
      </c>
      <c r="C41" s="26">
        <f>incidence_rate</f>
        <v/>
      </c>
      <c r="D41" s="26">
        <f>1-EXP(-C41*cycle_length)</f>
        <v/>
      </c>
      <c r="E41" s="26">
        <f>1-EXP(-(gompertz_a*EXP(gompertz_b*MAX(0,B41-20)))*cycle_length)</f>
        <v/>
      </c>
      <c r="F41" s="26">
        <f>1-EXP(-excess_mortality_rate*cycle_length)</f>
        <v/>
      </c>
      <c r="G41" s="26">
        <f>IF((D41+E41)&gt;1,D41/(D41+E41),D41)</f>
        <v/>
      </c>
      <c r="H41" s="26">
        <f>IF((D41+E41)&gt;1,E41/(D41+E41),E41)</f>
        <v/>
      </c>
      <c r="I41" s="26">
        <f>MIN(1,E41+F41)</f>
        <v/>
      </c>
      <c r="J41" s="26">
        <f>J40*(1-G40-H40)</f>
        <v/>
      </c>
      <c r="K41" s="26">
        <f>J40*G40+K40*(1-I40)</f>
        <v/>
      </c>
      <c r="L41" s="26">
        <f>L40+J40*H40+K40*I40</f>
        <v/>
      </c>
      <c r="M41" s="27">
        <f>J41*(cost_well_annual)+K41*cost_disease_annual</f>
        <v/>
      </c>
      <c r="N41" s="26">
        <f>J41*utility_well+K41*utility_disease</f>
        <v/>
      </c>
      <c r="O41" s="26">
        <f>J41+K41</f>
        <v/>
      </c>
      <c r="P41" s="25">
        <f>IF(A41&gt;cycles-1,0,IF(AND(half_cycle=1,OR(A41=0,A41=cycles-1)),0.5,1))</f>
        <v/>
      </c>
      <c r="Q41" s="26">
        <f>1/(1+discount_rate)^A41</f>
        <v/>
      </c>
      <c r="R41" s="27">
        <f>M41*P41*Q41</f>
        <v/>
      </c>
      <c r="S41" s="26">
        <f>N41*P41*Q41</f>
        <v/>
      </c>
      <c r="T41" s="26">
        <f>O41*P41*Q41</f>
        <v/>
      </c>
    </row>
    <row r="42">
      <c r="A42" s="24" t="n">
        <v>38</v>
      </c>
      <c r="B42" s="25">
        <f>start_age+38</f>
        <v/>
      </c>
      <c r="C42" s="26">
        <f>incidence_rate</f>
        <v/>
      </c>
      <c r="D42" s="26">
        <f>1-EXP(-C42*cycle_length)</f>
        <v/>
      </c>
      <c r="E42" s="26">
        <f>1-EXP(-(gompertz_a*EXP(gompertz_b*MAX(0,B42-20)))*cycle_length)</f>
        <v/>
      </c>
      <c r="F42" s="26">
        <f>1-EXP(-excess_mortality_rate*cycle_length)</f>
        <v/>
      </c>
      <c r="G42" s="26">
        <f>IF((D42+E42)&gt;1,D42/(D42+E42),D42)</f>
        <v/>
      </c>
      <c r="H42" s="26">
        <f>IF((D42+E42)&gt;1,E42/(D42+E42),E42)</f>
        <v/>
      </c>
      <c r="I42" s="26">
        <f>MIN(1,E42+F42)</f>
        <v/>
      </c>
      <c r="J42" s="26">
        <f>J41*(1-G41-H41)</f>
        <v/>
      </c>
      <c r="K42" s="26">
        <f>J41*G41+K41*(1-I41)</f>
        <v/>
      </c>
      <c r="L42" s="26">
        <f>L41+J41*H41+K41*I41</f>
        <v/>
      </c>
      <c r="M42" s="27">
        <f>J42*(cost_well_annual)+K42*cost_disease_annual</f>
        <v/>
      </c>
      <c r="N42" s="26">
        <f>J42*utility_well+K42*utility_disease</f>
        <v/>
      </c>
      <c r="O42" s="26">
        <f>J42+K42</f>
        <v/>
      </c>
      <c r="P42" s="25">
        <f>IF(A42&gt;cycles-1,0,IF(AND(half_cycle=1,OR(A42=0,A42=cycles-1)),0.5,1))</f>
        <v/>
      </c>
      <c r="Q42" s="26">
        <f>1/(1+discount_rate)^A42</f>
        <v/>
      </c>
      <c r="R42" s="27">
        <f>M42*P42*Q42</f>
        <v/>
      </c>
      <c r="S42" s="26">
        <f>N42*P42*Q42</f>
        <v/>
      </c>
      <c r="T42" s="26">
        <f>O42*P42*Q42</f>
        <v/>
      </c>
    </row>
    <row r="43">
      <c r="A43" s="24" t="n">
        <v>39</v>
      </c>
      <c r="B43" s="25">
        <f>start_age+39</f>
        <v/>
      </c>
      <c r="C43" s="26">
        <f>incidence_rate</f>
        <v/>
      </c>
      <c r="D43" s="26">
        <f>1-EXP(-C43*cycle_length)</f>
        <v/>
      </c>
      <c r="E43" s="26">
        <f>1-EXP(-(gompertz_a*EXP(gompertz_b*MAX(0,B43-20)))*cycle_length)</f>
        <v/>
      </c>
      <c r="F43" s="26">
        <f>1-EXP(-excess_mortality_rate*cycle_length)</f>
        <v/>
      </c>
      <c r="G43" s="26">
        <f>IF((D43+E43)&gt;1,D43/(D43+E43),D43)</f>
        <v/>
      </c>
      <c r="H43" s="26">
        <f>IF((D43+E43)&gt;1,E43/(D43+E43),E43)</f>
        <v/>
      </c>
      <c r="I43" s="26">
        <f>MIN(1,E43+F43)</f>
        <v/>
      </c>
      <c r="J43" s="26">
        <f>J42*(1-G42-H42)</f>
        <v/>
      </c>
      <c r="K43" s="26">
        <f>J42*G42+K42*(1-I42)</f>
        <v/>
      </c>
      <c r="L43" s="26">
        <f>L42+J42*H42+K42*I42</f>
        <v/>
      </c>
      <c r="M43" s="27">
        <f>J43*(cost_well_annual)+K43*cost_disease_annual</f>
        <v/>
      </c>
      <c r="N43" s="26">
        <f>J43*utility_well+K43*utility_disease</f>
        <v/>
      </c>
      <c r="O43" s="26">
        <f>J43+K43</f>
        <v/>
      </c>
      <c r="P43" s="25">
        <f>IF(A43&gt;cycles-1,0,IF(AND(half_cycle=1,OR(A43=0,A43=cycles-1)),0.5,1))</f>
        <v/>
      </c>
      <c r="Q43" s="26">
        <f>1/(1+discount_rate)^A43</f>
        <v/>
      </c>
      <c r="R43" s="27">
        <f>M43*P43*Q43</f>
        <v/>
      </c>
      <c r="S43" s="26">
        <f>N43*P43*Q43</f>
        <v/>
      </c>
      <c r="T43" s="26">
        <f>O43*P43*Q43</f>
        <v/>
      </c>
    </row>
    <row r="44">
      <c r="A44" s="24" t="n">
        <v>40</v>
      </c>
      <c r="B44" s="25">
        <f>start_age+40</f>
        <v/>
      </c>
      <c r="C44" s="26">
        <f>incidence_rate</f>
        <v/>
      </c>
      <c r="D44" s="26">
        <f>1-EXP(-C44*cycle_length)</f>
        <v/>
      </c>
      <c r="E44" s="26">
        <f>1-EXP(-(gompertz_a*EXP(gompertz_b*MAX(0,B44-20)))*cycle_length)</f>
        <v/>
      </c>
      <c r="F44" s="26">
        <f>1-EXP(-excess_mortality_rate*cycle_length)</f>
        <v/>
      </c>
      <c r="G44" s="26">
        <f>IF((D44+E44)&gt;1,D44/(D44+E44),D44)</f>
        <v/>
      </c>
      <c r="H44" s="26">
        <f>IF((D44+E44)&gt;1,E44/(D44+E44),E44)</f>
        <v/>
      </c>
      <c r="I44" s="26">
        <f>MIN(1,E44+F44)</f>
        <v/>
      </c>
      <c r="J44" s="26">
        <f>J43*(1-G43-H43)</f>
        <v/>
      </c>
      <c r="K44" s="26">
        <f>J43*G43+K43*(1-I43)</f>
        <v/>
      </c>
      <c r="L44" s="26">
        <f>L43+J43*H43+K43*I43</f>
        <v/>
      </c>
      <c r="M44" s="27">
        <f>J44*(cost_well_annual)+K44*cost_disease_annual</f>
        <v/>
      </c>
      <c r="N44" s="26">
        <f>J44*utility_well+K44*utility_disease</f>
        <v/>
      </c>
      <c r="O44" s="26">
        <f>J44+K44</f>
        <v/>
      </c>
      <c r="P44" s="25">
        <f>IF(A44&gt;cycles-1,0,IF(AND(half_cycle=1,OR(A44=0,A44=cycles-1)),0.5,1))</f>
        <v/>
      </c>
      <c r="Q44" s="26">
        <f>1/(1+discount_rate)^A44</f>
        <v/>
      </c>
      <c r="R44" s="27">
        <f>M44*P44*Q44</f>
        <v/>
      </c>
      <c r="S44" s="26">
        <f>N44*P44*Q44</f>
        <v/>
      </c>
      <c r="T44" s="26">
        <f>O44*P44*Q44</f>
        <v/>
      </c>
    </row>
    <row r="45">
      <c r="A45" s="24" t="n">
        <v>41</v>
      </c>
      <c r="B45" s="25">
        <f>start_age+41</f>
        <v/>
      </c>
      <c r="C45" s="26">
        <f>incidence_rate</f>
        <v/>
      </c>
      <c r="D45" s="26">
        <f>1-EXP(-C45*cycle_length)</f>
        <v/>
      </c>
      <c r="E45" s="26">
        <f>1-EXP(-(gompertz_a*EXP(gompertz_b*MAX(0,B45-20)))*cycle_length)</f>
        <v/>
      </c>
      <c r="F45" s="26">
        <f>1-EXP(-excess_mortality_rate*cycle_length)</f>
        <v/>
      </c>
      <c r="G45" s="26">
        <f>IF((D45+E45)&gt;1,D45/(D45+E45),D45)</f>
        <v/>
      </c>
      <c r="H45" s="26">
        <f>IF((D45+E45)&gt;1,E45/(D45+E45),E45)</f>
        <v/>
      </c>
      <c r="I45" s="26">
        <f>MIN(1,E45+F45)</f>
        <v/>
      </c>
      <c r="J45" s="26">
        <f>J44*(1-G44-H44)</f>
        <v/>
      </c>
      <c r="K45" s="26">
        <f>J44*G44+K44*(1-I44)</f>
        <v/>
      </c>
      <c r="L45" s="26">
        <f>L44+J44*H44+K44*I44</f>
        <v/>
      </c>
      <c r="M45" s="27">
        <f>J45*(cost_well_annual)+K45*cost_disease_annual</f>
        <v/>
      </c>
      <c r="N45" s="26">
        <f>J45*utility_well+K45*utility_disease</f>
        <v/>
      </c>
      <c r="O45" s="26">
        <f>J45+K45</f>
        <v/>
      </c>
      <c r="P45" s="25">
        <f>IF(A45&gt;cycles-1,0,IF(AND(half_cycle=1,OR(A45=0,A45=cycles-1)),0.5,1))</f>
        <v/>
      </c>
      <c r="Q45" s="26">
        <f>1/(1+discount_rate)^A45</f>
        <v/>
      </c>
      <c r="R45" s="27">
        <f>M45*P45*Q45</f>
        <v/>
      </c>
      <c r="S45" s="26">
        <f>N45*P45*Q45</f>
        <v/>
      </c>
      <c r="T45" s="26">
        <f>O45*P45*Q45</f>
        <v/>
      </c>
    </row>
    <row r="46">
      <c r="A46" s="24" t="n">
        <v>42</v>
      </c>
      <c r="B46" s="25">
        <f>start_age+42</f>
        <v/>
      </c>
      <c r="C46" s="26">
        <f>incidence_rate</f>
        <v/>
      </c>
      <c r="D46" s="26">
        <f>1-EXP(-C46*cycle_length)</f>
        <v/>
      </c>
      <c r="E46" s="26">
        <f>1-EXP(-(gompertz_a*EXP(gompertz_b*MAX(0,B46-20)))*cycle_length)</f>
        <v/>
      </c>
      <c r="F46" s="26">
        <f>1-EXP(-excess_mortality_rate*cycle_length)</f>
        <v/>
      </c>
      <c r="G46" s="26">
        <f>IF((D46+E46)&gt;1,D46/(D46+E46),D46)</f>
        <v/>
      </c>
      <c r="H46" s="26">
        <f>IF((D46+E46)&gt;1,E46/(D46+E46),E46)</f>
        <v/>
      </c>
      <c r="I46" s="26">
        <f>MIN(1,E46+F46)</f>
        <v/>
      </c>
      <c r="J46" s="26">
        <f>J45*(1-G45-H45)</f>
        <v/>
      </c>
      <c r="K46" s="26">
        <f>J45*G45+K45*(1-I45)</f>
        <v/>
      </c>
      <c r="L46" s="26">
        <f>L45+J45*H45+K45*I45</f>
        <v/>
      </c>
      <c r="M46" s="27">
        <f>J46*(cost_well_annual)+K46*cost_disease_annual</f>
        <v/>
      </c>
      <c r="N46" s="26">
        <f>J46*utility_well+K46*utility_disease</f>
        <v/>
      </c>
      <c r="O46" s="26">
        <f>J46+K46</f>
        <v/>
      </c>
      <c r="P46" s="25">
        <f>IF(A46&gt;cycles-1,0,IF(AND(half_cycle=1,OR(A46=0,A46=cycles-1)),0.5,1))</f>
        <v/>
      </c>
      <c r="Q46" s="26">
        <f>1/(1+discount_rate)^A46</f>
        <v/>
      </c>
      <c r="R46" s="27">
        <f>M46*P46*Q46</f>
        <v/>
      </c>
      <c r="S46" s="26">
        <f>N46*P46*Q46</f>
        <v/>
      </c>
      <c r="T46" s="26">
        <f>O46*P46*Q46</f>
        <v/>
      </c>
    </row>
    <row r="47">
      <c r="A47" s="24" t="n">
        <v>43</v>
      </c>
      <c r="B47" s="25">
        <f>start_age+43</f>
        <v/>
      </c>
      <c r="C47" s="26">
        <f>incidence_rate</f>
        <v/>
      </c>
      <c r="D47" s="26">
        <f>1-EXP(-C47*cycle_length)</f>
        <v/>
      </c>
      <c r="E47" s="26">
        <f>1-EXP(-(gompertz_a*EXP(gompertz_b*MAX(0,B47-20)))*cycle_length)</f>
        <v/>
      </c>
      <c r="F47" s="26">
        <f>1-EXP(-excess_mortality_rate*cycle_length)</f>
        <v/>
      </c>
      <c r="G47" s="26">
        <f>IF((D47+E47)&gt;1,D47/(D47+E47),D47)</f>
        <v/>
      </c>
      <c r="H47" s="26">
        <f>IF((D47+E47)&gt;1,E47/(D47+E47),E47)</f>
        <v/>
      </c>
      <c r="I47" s="26">
        <f>MIN(1,E47+F47)</f>
        <v/>
      </c>
      <c r="J47" s="26">
        <f>J46*(1-G46-H46)</f>
        <v/>
      </c>
      <c r="K47" s="26">
        <f>J46*G46+K46*(1-I46)</f>
        <v/>
      </c>
      <c r="L47" s="26">
        <f>L46+J46*H46+K46*I46</f>
        <v/>
      </c>
      <c r="M47" s="27">
        <f>J47*(cost_well_annual)+K47*cost_disease_annual</f>
        <v/>
      </c>
      <c r="N47" s="26">
        <f>J47*utility_well+K47*utility_disease</f>
        <v/>
      </c>
      <c r="O47" s="26">
        <f>J47+K47</f>
        <v/>
      </c>
      <c r="P47" s="25">
        <f>IF(A47&gt;cycles-1,0,IF(AND(half_cycle=1,OR(A47=0,A47=cycles-1)),0.5,1))</f>
        <v/>
      </c>
      <c r="Q47" s="26">
        <f>1/(1+discount_rate)^A47</f>
        <v/>
      </c>
      <c r="R47" s="27">
        <f>M47*P47*Q47</f>
        <v/>
      </c>
      <c r="S47" s="26">
        <f>N47*P47*Q47</f>
        <v/>
      </c>
      <c r="T47" s="26">
        <f>O47*P47*Q47</f>
        <v/>
      </c>
    </row>
    <row r="48">
      <c r="A48" s="24" t="n">
        <v>44</v>
      </c>
      <c r="B48" s="25">
        <f>start_age+44</f>
        <v/>
      </c>
      <c r="C48" s="26">
        <f>incidence_rate</f>
        <v/>
      </c>
      <c r="D48" s="26">
        <f>1-EXP(-C48*cycle_length)</f>
        <v/>
      </c>
      <c r="E48" s="26">
        <f>1-EXP(-(gompertz_a*EXP(gompertz_b*MAX(0,B48-20)))*cycle_length)</f>
        <v/>
      </c>
      <c r="F48" s="26">
        <f>1-EXP(-excess_mortality_rate*cycle_length)</f>
        <v/>
      </c>
      <c r="G48" s="26">
        <f>IF((D48+E48)&gt;1,D48/(D48+E48),D48)</f>
        <v/>
      </c>
      <c r="H48" s="26">
        <f>IF((D48+E48)&gt;1,E48/(D48+E48),E48)</f>
        <v/>
      </c>
      <c r="I48" s="26">
        <f>MIN(1,E48+F48)</f>
        <v/>
      </c>
      <c r="J48" s="26">
        <f>J47*(1-G47-H47)</f>
        <v/>
      </c>
      <c r="K48" s="26">
        <f>J47*G47+K47*(1-I47)</f>
        <v/>
      </c>
      <c r="L48" s="26">
        <f>L47+J47*H47+K47*I47</f>
        <v/>
      </c>
      <c r="M48" s="27">
        <f>J48*(cost_well_annual)+K48*cost_disease_annual</f>
        <v/>
      </c>
      <c r="N48" s="26">
        <f>J48*utility_well+K48*utility_disease</f>
        <v/>
      </c>
      <c r="O48" s="26">
        <f>J48+K48</f>
        <v/>
      </c>
      <c r="P48" s="25">
        <f>IF(A48&gt;cycles-1,0,IF(AND(half_cycle=1,OR(A48=0,A48=cycles-1)),0.5,1))</f>
        <v/>
      </c>
      <c r="Q48" s="26">
        <f>1/(1+discount_rate)^A48</f>
        <v/>
      </c>
      <c r="R48" s="27">
        <f>M48*P48*Q48</f>
        <v/>
      </c>
      <c r="S48" s="26">
        <f>N48*P48*Q48</f>
        <v/>
      </c>
      <c r="T48" s="26">
        <f>O48*P48*Q48</f>
        <v/>
      </c>
    </row>
    <row r="50">
      <c r="A50" s="10" t="inlineStr">
        <is>
          <t>TOTAL (discounted)</t>
        </is>
      </c>
      <c r="R50" s="28">
        <f>SUM(R4:R48)</f>
        <v/>
      </c>
      <c r="S50" s="29">
        <f>SUM(S4:S48)</f>
        <v/>
      </c>
      <c r="T50" s="29">
        <f>SUM(T4:T48)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2" customWidth="1" min="14" max="14"/>
    <col width="11" customWidth="1" min="15" max="15"/>
    <col width="9" customWidth="1" min="16" max="16"/>
    <col width="11" customWidth="1" min="17" max="17"/>
    <col width="14" customWidth="1" min="18" max="18"/>
    <col width="12" customWidth="1" min="19" max="19"/>
    <col width="11" customWidth="1" min="20" max="20"/>
  </cols>
  <sheetData>
    <row r="1">
      <c r="A1" s="1" t="inlineStr">
        <is>
          <t>Genomic-guided - cohort trace (Well / Disease / Dead)</t>
        </is>
      </c>
    </row>
    <row r="3">
      <c r="A3" s="23" t="inlineStr">
        <is>
          <t>cycle</t>
        </is>
      </c>
      <c r="B3" s="23" t="inlineStr">
        <is>
          <t>age</t>
        </is>
      </c>
      <c r="C3" s="23" t="inlineStr">
        <is>
          <t>incidence (eff. rate)</t>
        </is>
      </c>
      <c r="D3" s="23" t="inlineStr">
        <is>
          <t>p_wd raw</t>
        </is>
      </c>
      <c r="E3" s="23" t="inlineStr">
        <is>
          <t>p_bg raw</t>
        </is>
      </c>
      <c r="F3" s="23" t="inlineStr">
        <is>
          <t>p_ex</t>
        </is>
      </c>
      <c r="G3" s="23" t="inlineStr">
        <is>
          <t>p_wd norm</t>
        </is>
      </c>
      <c r="H3" s="23" t="inlineStr">
        <is>
          <t>p_bg norm</t>
        </is>
      </c>
      <c r="I3" s="23" t="inlineStr">
        <is>
          <t>p_dd</t>
        </is>
      </c>
      <c r="J3" s="23" t="inlineStr">
        <is>
          <t>Well</t>
        </is>
      </c>
      <c r="K3" s="23" t="inlineStr">
        <is>
          <t>Disease</t>
        </is>
      </c>
      <c r="L3" s="23" t="inlineStr">
        <is>
          <t>Dead</t>
        </is>
      </c>
      <c r="M3" s="23" t="inlineStr">
        <is>
          <t>cost/cycle</t>
        </is>
      </c>
      <c r="N3" s="23" t="inlineStr">
        <is>
          <t>qaly/cycle</t>
        </is>
      </c>
      <c r="O3" s="23" t="inlineStr">
        <is>
          <t>ly/cycle</t>
        </is>
      </c>
      <c r="P3" s="23" t="inlineStr">
        <is>
          <t>weight</t>
        </is>
      </c>
      <c r="Q3" s="23" t="inlineStr">
        <is>
          <t>discount</t>
        </is>
      </c>
      <c r="R3" s="23" t="inlineStr">
        <is>
          <t>disc. cost</t>
        </is>
      </c>
      <c r="S3" s="23" t="inlineStr">
        <is>
          <t>disc. qaly</t>
        </is>
      </c>
      <c r="T3" s="23" t="inlineStr">
        <is>
          <t>disc. ly</t>
        </is>
      </c>
    </row>
    <row r="4">
      <c r="A4" s="24" t="n">
        <v>0</v>
      </c>
      <c r="B4" s="25">
        <f>start_age+0</f>
        <v/>
      </c>
      <c r="C4" s="26">
        <f>incidence_rate*(1-rrr_intervention)</f>
        <v/>
      </c>
      <c r="D4" s="26">
        <f>1-EXP(-C4*cycle_length)</f>
        <v/>
      </c>
      <c r="E4" s="26">
        <f>1-EXP(-(gompertz_a*EXP(gompertz_b*MAX(0,B4-20)))*cycle_length)</f>
        <v/>
      </c>
      <c r="F4" s="26">
        <f>1-EXP(-excess_mortality_rate*cycle_length)</f>
        <v/>
      </c>
      <c r="G4" s="26">
        <f>IF((D4+E4)&gt;1,D4/(D4+E4),D4)</f>
        <v/>
      </c>
      <c r="H4" s="26">
        <f>IF((D4+E4)&gt;1,E4/(D4+E4),E4)</f>
        <v/>
      </c>
      <c r="I4" s="26">
        <f>MIN(1,E4+F4)</f>
        <v/>
      </c>
      <c r="J4" s="26" t="n">
        <v>1</v>
      </c>
      <c r="K4" s="26" t="n">
        <v>0</v>
      </c>
      <c r="L4" s="26" t="n">
        <v>0</v>
      </c>
      <c r="M4" s="27">
        <f>J4*(cost_well_annual+cost_intervention_annual)+K4*cost_disease_annual</f>
        <v/>
      </c>
      <c r="N4" s="26">
        <f>J4*utility_well+K4*utility_disease</f>
        <v/>
      </c>
      <c r="O4" s="26">
        <f>J4+K4</f>
        <v/>
      </c>
      <c r="P4" s="25">
        <f>IF(A4&gt;cycles-1,0,IF(AND(half_cycle=1,OR(A4=0,A4=cycles-1)),0.5,1))</f>
        <v/>
      </c>
      <c r="Q4" s="26">
        <f>1/(1+discount_rate)^A4</f>
        <v/>
      </c>
      <c r="R4" s="27">
        <f>M4*P4*Q4</f>
        <v/>
      </c>
      <c r="S4" s="26">
        <f>N4*P4*Q4</f>
        <v/>
      </c>
      <c r="T4" s="26">
        <f>O4*P4*Q4</f>
        <v/>
      </c>
    </row>
    <row r="5">
      <c r="A5" s="24" t="n">
        <v>1</v>
      </c>
      <c r="B5" s="25">
        <f>start_age+1</f>
        <v/>
      </c>
      <c r="C5" s="26">
        <f>incidence_rate*(1-rrr_intervention)</f>
        <v/>
      </c>
      <c r="D5" s="26">
        <f>1-EXP(-C5*cycle_length)</f>
        <v/>
      </c>
      <c r="E5" s="26">
        <f>1-EXP(-(gompertz_a*EXP(gompertz_b*MAX(0,B5-20)))*cycle_length)</f>
        <v/>
      </c>
      <c r="F5" s="26">
        <f>1-EXP(-excess_mortality_rate*cycle_length)</f>
        <v/>
      </c>
      <c r="G5" s="26">
        <f>IF((D5+E5)&gt;1,D5/(D5+E5),D5)</f>
        <v/>
      </c>
      <c r="H5" s="26">
        <f>IF((D5+E5)&gt;1,E5/(D5+E5),E5)</f>
        <v/>
      </c>
      <c r="I5" s="26">
        <f>MIN(1,E5+F5)</f>
        <v/>
      </c>
      <c r="J5" s="26">
        <f>J4*(1-G4-H4)</f>
        <v/>
      </c>
      <c r="K5" s="26">
        <f>J4*G4+K4*(1-I4)</f>
        <v/>
      </c>
      <c r="L5" s="26">
        <f>L4+J4*H4+K4*I4</f>
        <v/>
      </c>
      <c r="M5" s="27">
        <f>J5*(cost_well_annual+cost_intervention_annual)+K5*cost_disease_annual</f>
        <v/>
      </c>
      <c r="N5" s="26">
        <f>J5*utility_well+K5*utility_disease</f>
        <v/>
      </c>
      <c r="O5" s="26">
        <f>J5+K5</f>
        <v/>
      </c>
      <c r="P5" s="25">
        <f>IF(A5&gt;cycles-1,0,IF(AND(half_cycle=1,OR(A5=0,A5=cycles-1)),0.5,1))</f>
        <v/>
      </c>
      <c r="Q5" s="26">
        <f>1/(1+discount_rate)^A5</f>
        <v/>
      </c>
      <c r="R5" s="27">
        <f>M5*P5*Q5</f>
        <v/>
      </c>
      <c r="S5" s="26">
        <f>N5*P5*Q5</f>
        <v/>
      </c>
      <c r="T5" s="26">
        <f>O5*P5*Q5</f>
        <v/>
      </c>
    </row>
    <row r="6">
      <c r="A6" s="24" t="n">
        <v>2</v>
      </c>
      <c r="B6" s="25">
        <f>start_age+2</f>
        <v/>
      </c>
      <c r="C6" s="26">
        <f>incidence_rate*(1-rrr_intervention)</f>
        <v/>
      </c>
      <c r="D6" s="26">
        <f>1-EXP(-C6*cycle_length)</f>
        <v/>
      </c>
      <c r="E6" s="26">
        <f>1-EXP(-(gompertz_a*EXP(gompertz_b*MAX(0,B6-20)))*cycle_length)</f>
        <v/>
      </c>
      <c r="F6" s="26">
        <f>1-EXP(-excess_mortality_rate*cycle_length)</f>
        <v/>
      </c>
      <c r="G6" s="26">
        <f>IF((D6+E6)&gt;1,D6/(D6+E6),D6)</f>
        <v/>
      </c>
      <c r="H6" s="26">
        <f>IF((D6+E6)&gt;1,E6/(D6+E6),E6)</f>
        <v/>
      </c>
      <c r="I6" s="26">
        <f>MIN(1,E6+F6)</f>
        <v/>
      </c>
      <c r="J6" s="26">
        <f>J5*(1-G5-H5)</f>
        <v/>
      </c>
      <c r="K6" s="26">
        <f>J5*G5+K5*(1-I5)</f>
        <v/>
      </c>
      <c r="L6" s="26">
        <f>L5+J5*H5+K5*I5</f>
        <v/>
      </c>
      <c r="M6" s="27">
        <f>J6*(cost_well_annual+cost_intervention_annual)+K6*cost_disease_annual</f>
        <v/>
      </c>
      <c r="N6" s="26">
        <f>J6*utility_well+K6*utility_disease</f>
        <v/>
      </c>
      <c r="O6" s="26">
        <f>J6+K6</f>
        <v/>
      </c>
      <c r="P6" s="25">
        <f>IF(A6&gt;cycles-1,0,IF(AND(half_cycle=1,OR(A6=0,A6=cycles-1)),0.5,1))</f>
        <v/>
      </c>
      <c r="Q6" s="26">
        <f>1/(1+discount_rate)^A6</f>
        <v/>
      </c>
      <c r="R6" s="27">
        <f>M6*P6*Q6</f>
        <v/>
      </c>
      <c r="S6" s="26">
        <f>N6*P6*Q6</f>
        <v/>
      </c>
      <c r="T6" s="26">
        <f>O6*P6*Q6</f>
        <v/>
      </c>
    </row>
    <row r="7">
      <c r="A7" s="24" t="n">
        <v>3</v>
      </c>
      <c r="B7" s="25">
        <f>start_age+3</f>
        <v/>
      </c>
      <c r="C7" s="26">
        <f>incidence_rate*(1-rrr_intervention)</f>
        <v/>
      </c>
      <c r="D7" s="26">
        <f>1-EXP(-C7*cycle_length)</f>
        <v/>
      </c>
      <c r="E7" s="26">
        <f>1-EXP(-(gompertz_a*EXP(gompertz_b*MAX(0,B7-20)))*cycle_length)</f>
        <v/>
      </c>
      <c r="F7" s="26">
        <f>1-EXP(-excess_mortality_rate*cycle_length)</f>
        <v/>
      </c>
      <c r="G7" s="26">
        <f>IF((D7+E7)&gt;1,D7/(D7+E7),D7)</f>
        <v/>
      </c>
      <c r="H7" s="26">
        <f>IF((D7+E7)&gt;1,E7/(D7+E7),E7)</f>
        <v/>
      </c>
      <c r="I7" s="26">
        <f>MIN(1,E7+F7)</f>
        <v/>
      </c>
      <c r="J7" s="26">
        <f>J6*(1-G6-H6)</f>
        <v/>
      </c>
      <c r="K7" s="26">
        <f>J6*G6+K6*(1-I6)</f>
        <v/>
      </c>
      <c r="L7" s="26">
        <f>L6+J6*H6+K6*I6</f>
        <v/>
      </c>
      <c r="M7" s="27">
        <f>J7*(cost_well_annual+cost_intervention_annual)+K7*cost_disease_annual</f>
        <v/>
      </c>
      <c r="N7" s="26">
        <f>J7*utility_well+K7*utility_disease</f>
        <v/>
      </c>
      <c r="O7" s="26">
        <f>J7+K7</f>
        <v/>
      </c>
      <c r="P7" s="25">
        <f>IF(A7&gt;cycles-1,0,IF(AND(half_cycle=1,OR(A7=0,A7=cycles-1)),0.5,1))</f>
        <v/>
      </c>
      <c r="Q7" s="26">
        <f>1/(1+discount_rate)^A7</f>
        <v/>
      </c>
      <c r="R7" s="27">
        <f>M7*P7*Q7</f>
        <v/>
      </c>
      <c r="S7" s="26">
        <f>N7*P7*Q7</f>
        <v/>
      </c>
      <c r="T7" s="26">
        <f>O7*P7*Q7</f>
        <v/>
      </c>
    </row>
    <row r="8">
      <c r="A8" s="24" t="n">
        <v>4</v>
      </c>
      <c r="B8" s="25">
        <f>start_age+4</f>
        <v/>
      </c>
      <c r="C8" s="26">
        <f>incidence_rate*(1-rrr_intervention)</f>
        <v/>
      </c>
      <c r="D8" s="26">
        <f>1-EXP(-C8*cycle_length)</f>
        <v/>
      </c>
      <c r="E8" s="26">
        <f>1-EXP(-(gompertz_a*EXP(gompertz_b*MAX(0,B8-20)))*cycle_length)</f>
        <v/>
      </c>
      <c r="F8" s="26">
        <f>1-EXP(-excess_mortality_rate*cycle_length)</f>
        <v/>
      </c>
      <c r="G8" s="26">
        <f>IF((D8+E8)&gt;1,D8/(D8+E8),D8)</f>
        <v/>
      </c>
      <c r="H8" s="26">
        <f>IF((D8+E8)&gt;1,E8/(D8+E8),E8)</f>
        <v/>
      </c>
      <c r="I8" s="26">
        <f>MIN(1,E8+F8)</f>
        <v/>
      </c>
      <c r="J8" s="26">
        <f>J7*(1-G7-H7)</f>
        <v/>
      </c>
      <c r="K8" s="26">
        <f>J7*G7+K7*(1-I7)</f>
        <v/>
      </c>
      <c r="L8" s="26">
        <f>L7+J7*H7+K7*I7</f>
        <v/>
      </c>
      <c r="M8" s="27">
        <f>J8*(cost_well_annual+cost_intervention_annual)+K8*cost_disease_annual</f>
        <v/>
      </c>
      <c r="N8" s="26">
        <f>J8*utility_well+K8*utility_disease</f>
        <v/>
      </c>
      <c r="O8" s="26">
        <f>J8+K8</f>
        <v/>
      </c>
      <c r="P8" s="25">
        <f>IF(A8&gt;cycles-1,0,IF(AND(half_cycle=1,OR(A8=0,A8=cycles-1)),0.5,1))</f>
        <v/>
      </c>
      <c r="Q8" s="26">
        <f>1/(1+discount_rate)^A8</f>
        <v/>
      </c>
      <c r="R8" s="27">
        <f>M8*P8*Q8</f>
        <v/>
      </c>
      <c r="S8" s="26">
        <f>N8*P8*Q8</f>
        <v/>
      </c>
      <c r="T8" s="26">
        <f>O8*P8*Q8</f>
        <v/>
      </c>
    </row>
    <row r="9">
      <c r="A9" s="24" t="n">
        <v>5</v>
      </c>
      <c r="B9" s="25">
        <f>start_age+5</f>
        <v/>
      </c>
      <c r="C9" s="26">
        <f>incidence_rate*(1-rrr_intervention)</f>
        <v/>
      </c>
      <c r="D9" s="26">
        <f>1-EXP(-C9*cycle_length)</f>
        <v/>
      </c>
      <c r="E9" s="26">
        <f>1-EXP(-(gompertz_a*EXP(gompertz_b*MAX(0,B9-20)))*cycle_length)</f>
        <v/>
      </c>
      <c r="F9" s="26">
        <f>1-EXP(-excess_mortality_rate*cycle_length)</f>
        <v/>
      </c>
      <c r="G9" s="26">
        <f>IF((D9+E9)&gt;1,D9/(D9+E9),D9)</f>
        <v/>
      </c>
      <c r="H9" s="26">
        <f>IF((D9+E9)&gt;1,E9/(D9+E9),E9)</f>
        <v/>
      </c>
      <c r="I9" s="26">
        <f>MIN(1,E9+F9)</f>
        <v/>
      </c>
      <c r="J9" s="26">
        <f>J8*(1-G8-H8)</f>
        <v/>
      </c>
      <c r="K9" s="26">
        <f>J8*G8+K8*(1-I8)</f>
        <v/>
      </c>
      <c r="L9" s="26">
        <f>L8+J8*H8+K8*I8</f>
        <v/>
      </c>
      <c r="M9" s="27">
        <f>J9*(cost_well_annual+cost_intervention_annual)+K9*cost_disease_annual</f>
        <v/>
      </c>
      <c r="N9" s="26">
        <f>J9*utility_well+K9*utility_disease</f>
        <v/>
      </c>
      <c r="O9" s="26">
        <f>J9+K9</f>
        <v/>
      </c>
      <c r="P9" s="25">
        <f>IF(A9&gt;cycles-1,0,IF(AND(half_cycle=1,OR(A9=0,A9=cycles-1)),0.5,1))</f>
        <v/>
      </c>
      <c r="Q9" s="26">
        <f>1/(1+discount_rate)^A9</f>
        <v/>
      </c>
      <c r="R9" s="27">
        <f>M9*P9*Q9</f>
        <v/>
      </c>
      <c r="S9" s="26">
        <f>N9*P9*Q9</f>
        <v/>
      </c>
      <c r="T9" s="26">
        <f>O9*P9*Q9</f>
        <v/>
      </c>
    </row>
    <row r="10">
      <c r="A10" s="24" t="n">
        <v>6</v>
      </c>
      <c r="B10" s="25">
        <f>start_age+6</f>
        <v/>
      </c>
      <c r="C10" s="26">
        <f>incidence_rate*(1-rrr_intervention)</f>
        <v/>
      </c>
      <c r="D10" s="26">
        <f>1-EXP(-C10*cycle_length)</f>
        <v/>
      </c>
      <c r="E10" s="26">
        <f>1-EXP(-(gompertz_a*EXP(gompertz_b*MAX(0,B10-20)))*cycle_length)</f>
        <v/>
      </c>
      <c r="F10" s="26">
        <f>1-EXP(-excess_mortality_rate*cycle_length)</f>
        <v/>
      </c>
      <c r="G10" s="26">
        <f>IF((D10+E10)&gt;1,D10/(D10+E10),D10)</f>
        <v/>
      </c>
      <c r="H10" s="26">
        <f>IF((D10+E10)&gt;1,E10/(D10+E10),E10)</f>
        <v/>
      </c>
      <c r="I10" s="26">
        <f>MIN(1,E10+F10)</f>
        <v/>
      </c>
      <c r="J10" s="26">
        <f>J9*(1-G9-H9)</f>
        <v/>
      </c>
      <c r="K10" s="26">
        <f>J9*G9+K9*(1-I9)</f>
        <v/>
      </c>
      <c r="L10" s="26">
        <f>L9+J9*H9+K9*I9</f>
        <v/>
      </c>
      <c r="M10" s="27">
        <f>J10*(cost_well_annual+cost_intervention_annual)+K10*cost_disease_annual</f>
        <v/>
      </c>
      <c r="N10" s="26">
        <f>J10*utility_well+K10*utility_disease</f>
        <v/>
      </c>
      <c r="O10" s="26">
        <f>J10+K10</f>
        <v/>
      </c>
      <c r="P10" s="25">
        <f>IF(A10&gt;cycles-1,0,IF(AND(half_cycle=1,OR(A10=0,A10=cycles-1)),0.5,1))</f>
        <v/>
      </c>
      <c r="Q10" s="26">
        <f>1/(1+discount_rate)^A10</f>
        <v/>
      </c>
      <c r="R10" s="27">
        <f>M10*P10*Q10</f>
        <v/>
      </c>
      <c r="S10" s="26">
        <f>N10*P10*Q10</f>
        <v/>
      </c>
      <c r="T10" s="26">
        <f>O10*P10*Q10</f>
        <v/>
      </c>
    </row>
    <row r="11">
      <c r="A11" s="24" t="n">
        <v>7</v>
      </c>
      <c r="B11" s="25">
        <f>start_age+7</f>
        <v/>
      </c>
      <c r="C11" s="26">
        <f>incidence_rate*(1-rrr_intervention)</f>
        <v/>
      </c>
      <c r="D11" s="26">
        <f>1-EXP(-C11*cycle_length)</f>
        <v/>
      </c>
      <c r="E11" s="26">
        <f>1-EXP(-(gompertz_a*EXP(gompertz_b*MAX(0,B11-20)))*cycle_length)</f>
        <v/>
      </c>
      <c r="F11" s="26">
        <f>1-EXP(-excess_mortality_rate*cycle_length)</f>
        <v/>
      </c>
      <c r="G11" s="26">
        <f>IF((D11+E11)&gt;1,D11/(D11+E11),D11)</f>
        <v/>
      </c>
      <c r="H11" s="26">
        <f>IF((D11+E11)&gt;1,E11/(D11+E11),E11)</f>
        <v/>
      </c>
      <c r="I11" s="26">
        <f>MIN(1,E11+F11)</f>
        <v/>
      </c>
      <c r="J11" s="26">
        <f>J10*(1-G10-H10)</f>
        <v/>
      </c>
      <c r="K11" s="26">
        <f>J10*G10+K10*(1-I10)</f>
        <v/>
      </c>
      <c r="L11" s="26">
        <f>L10+J10*H10+K10*I10</f>
        <v/>
      </c>
      <c r="M11" s="27">
        <f>J11*(cost_well_annual+cost_intervention_annual)+K11*cost_disease_annual</f>
        <v/>
      </c>
      <c r="N11" s="26">
        <f>J11*utility_well+K11*utility_disease</f>
        <v/>
      </c>
      <c r="O11" s="26">
        <f>J11+K11</f>
        <v/>
      </c>
      <c r="P11" s="25">
        <f>IF(A11&gt;cycles-1,0,IF(AND(half_cycle=1,OR(A11=0,A11=cycles-1)),0.5,1))</f>
        <v/>
      </c>
      <c r="Q11" s="26">
        <f>1/(1+discount_rate)^A11</f>
        <v/>
      </c>
      <c r="R11" s="27">
        <f>M11*P11*Q11</f>
        <v/>
      </c>
      <c r="S11" s="26">
        <f>N11*P11*Q11</f>
        <v/>
      </c>
      <c r="T11" s="26">
        <f>O11*P11*Q11</f>
        <v/>
      </c>
    </row>
    <row r="12">
      <c r="A12" s="24" t="n">
        <v>8</v>
      </c>
      <c r="B12" s="25">
        <f>start_age+8</f>
        <v/>
      </c>
      <c r="C12" s="26">
        <f>incidence_rate*(1-rrr_intervention)</f>
        <v/>
      </c>
      <c r="D12" s="26">
        <f>1-EXP(-C12*cycle_length)</f>
        <v/>
      </c>
      <c r="E12" s="26">
        <f>1-EXP(-(gompertz_a*EXP(gompertz_b*MAX(0,B12-20)))*cycle_length)</f>
        <v/>
      </c>
      <c r="F12" s="26">
        <f>1-EXP(-excess_mortality_rate*cycle_length)</f>
        <v/>
      </c>
      <c r="G12" s="26">
        <f>IF((D12+E12)&gt;1,D12/(D12+E12),D12)</f>
        <v/>
      </c>
      <c r="H12" s="26">
        <f>IF((D12+E12)&gt;1,E12/(D12+E12),E12)</f>
        <v/>
      </c>
      <c r="I12" s="26">
        <f>MIN(1,E12+F12)</f>
        <v/>
      </c>
      <c r="J12" s="26">
        <f>J11*(1-G11-H11)</f>
        <v/>
      </c>
      <c r="K12" s="26">
        <f>J11*G11+K11*(1-I11)</f>
        <v/>
      </c>
      <c r="L12" s="26">
        <f>L11+J11*H11+K11*I11</f>
        <v/>
      </c>
      <c r="M12" s="27">
        <f>J12*(cost_well_annual+cost_intervention_annual)+K12*cost_disease_annual</f>
        <v/>
      </c>
      <c r="N12" s="26">
        <f>J12*utility_well+K12*utility_disease</f>
        <v/>
      </c>
      <c r="O12" s="26">
        <f>J12+K12</f>
        <v/>
      </c>
      <c r="P12" s="25">
        <f>IF(A12&gt;cycles-1,0,IF(AND(half_cycle=1,OR(A12=0,A12=cycles-1)),0.5,1))</f>
        <v/>
      </c>
      <c r="Q12" s="26">
        <f>1/(1+discount_rate)^A12</f>
        <v/>
      </c>
      <c r="R12" s="27">
        <f>M12*P12*Q12</f>
        <v/>
      </c>
      <c r="S12" s="26">
        <f>N12*P12*Q12</f>
        <v/>
      </c>
      <c r="T12" s="26">
        <f>O12*P12*Q12</f>
        <v/>
      </c>
    </row>
    <row r="13">
      <c r="A13" s="24" t="n">
        <v>9</v>
      </c>
      <c r="B13" s="25">
        <f>start_age+9</f>
        <v/>
      </c>
      <c r="C13" s="26">
        <f>incidence_rate*(1-rrr_intervention)</f>
        <v/>
      </c>
      <c r="D13" s="26">
        <f>1-EXP(-C13*cycle_length)</f>
        <v/>
      </c>
      <c r="E13" s="26">
        <f>1-EXP(-(gompertz_a*EXP(gompertz_b*MAX(0,B13-20)))*cycle_length)</f>
        <v/>
      </c>
      <c r="F13" s="26">
        <f>1-EXP(-excess_mortality_rate*cycle_length)</f>
        <v/>
      </c>
      <c r="G13" s="26">
        <f>IF((D13+E13)&gt;1,D13/(D13+E13),D13)</f>
        <v/>
      </c>
      <c r="H13" s="26">
        <f>IF((D13+E13)&gt;1,E13/(D13+E13),E13)</f>
        <v/>
      </c>
      <c r="I13" s="26">
        <f>MIN(1,E13+F13)</f>
        <v/>
      </c>
      <c r="J13" s="26">
        <f>J12*(1-G12-H12)</f>
        <v/>
      </c>
      <c r="K13" s="26">
        <f>J12*G12+K12*(1-I12)</f>
        <v/>
      </c>
      <c r="L13" s="26">
        <f>L12+J12*H12+K12*I12</f>
        <v/>
      </c>
      <c r="M13" s="27">
        <f>J13*(cost_well_annual+cost_intervention_annual)+K13*cost_disease_annual</f>
        <v/>
      </c>
      <c r="N13" s="26">
        <f>J13*utility_well+K13*utility_disease</f>
        <v/>
      </c>
      <c r="O13" s="26">
        <f>J13+K13</f>
        <v/>
      </c>
      <c r="P13" s="25">
        <f>IF(A13&gt;cycles-1,0,IF(AND(half_cycle=1,OR(A13=0,A13=cycles-1)),0.5,1))</f>
        <v/>
      </c>
      <c r="Q13" s="26">
        <f>1/(1+discount_rate)^A13</f>
        <v/>
      </c>
      <c r="R13" s="27">
        <f>M13*P13*Q13</f>
        <v/>
      </c>
      <c r="S13" s="26">
        <f>N13*P13*Q13</f>
        <v/>
      </c>
      <c r="T13" s="26">
        <f>O13*P13*Q13</f>
        <v/>
      </c>
    </row>
    <row r="14">
      <c r="A14" s="24" t="n">
        <v>10</v>
      </c>
      <c r="B14" s="25">
        <f>start_age+10</f>
        <v/>
      </c>
      <c r="C14" s="26">
        <f>incidence_rate*(1-rrr_intervention)</f>
        <v/>
      </c>
      <c r="D14" s="26">
        <f>1-EXP(-C14*cycle_length)</f>
        <v/>
      </c>
      <c r="E14" s="26">
        <f>1-EXP(-(gompertz_a*EXP(gompertz_b*MAX(0,B14-20)))*cycle_length)</f>
        <v/>
      </c>
      <c r="F14" s="26">
        <f>1-EXP(-excess_mortality_rate*cycle_length)</f>
        <v/>
      </c>
      <c r="G14" s="26">
        <f>IF((D14+E14)&gt;1,D14/(D14+E14),D14)</f>
        <v/>
      </c>
      <c r="H14" s="26">
        <f>IF((D14+E14)&gt;1,E14/(D14+E14),E14)</f>
        <v/>
      </c>
      <c r="I14" s="26">
        <f>MIN(1,E14+F14)</f>
        <v/>
      </c>
      <c r="J14" s="26">
        <f>J13*(1-G13-H13)</f>
        <v/>
      </c>
      <c r="K14" s="26">
        <f>J13*G13+K13*(1-I13)</f>
        <v/>
      </c>
      <c r="L14" s="26">
        <f>L13+J13*H13+K13*I13</f>
        <v/>
      </c>
      <c r="M14" s="27">
        <f>J14*(cost_well_annual+cost_intervention_annual)+K14*cost_disease_annual</f>
        <v/>
      </c>
      <c r="N14" s="26">
        <f>J14*utility_well+K14*utility_disease</f>
        <v/>
      </c>
      <c r="O14" s="26">
        <f>J14+K14</f>
        <v/>
      </c>
      <c r="P14" s="25">
        <f>IF(A14&gt;cycles-1,0,IF(AND(half_cycle=1,OR(A14=0,A14=cycles-1)),0.5,1))</f>
        <v/>
      </c>
      <c r="Q14" s="26">
        <f>1/(1+discount_rate)^A14</f>
        <v/>
      </c>
      <c r="R14" s="27">
        <f>M14*P14*Q14</f>
        <v/>
      </c>
      <c r="S14" s="26">
        <f>N14*P14*Q14</f>
        <v/>
      </c>
      <c r="T14" s="26">
        <f>O14*P14*Q14</f>
        <v/>
      </c>
    </row>
    <row r="15">
      <c r="A15" s="24" t="n">
        <v>11</v>
      </c>
      <c r="B15" s="25">
        <f>start_age+11</f>
        <v/>
      </c>
      <c r="C15" s="26">
        <f>incidence_rate*(1-rrr_intervention)</f>
        <v/>
      </c>
      <c r="D15" s="26">
        <f>1-EXP(-C15*cycle_length)</f>
        <v/>
      </c>
      <c r="E15" s="26">
        <f>1-EXP(-(gompertz_a*EXP(gompertz_b*MAX(0,B15-20)))*cycle_length)</f>
        <v/>
      </c>
      <c r="F15" s="26">
        <f>1-EXP(-excess_mortality_rate*cycle_length)</f>
        <v/>
      </c>
      <c r="G15" s="26">
        <f>IF((D15+E15)&gt;1,D15/(D15+E15),D15)</f>
        <v/>
      </c>
      <c r="H15" s="26">
        <f>IF((D15+E15)&gt;1,E15/(D15+E15),E15)</f>
        <v/>
      </c>
      <c r="I15" s="26">
        <f>MIN(1,E15+F15)</f>
        <v/>
      </c>
      <c r="J15" s="26">
        <f>J14*(1-G14-H14)</f>
        <v/>
      </c>
      <c r="K15" s="26">
        <f>J14*G14+K14*(1-I14)</f>
        <v/>
      </c>
      <c r="L15" s="26">
        <f>L14+J14*H14+K14*I14</f>
        <v/>
      </c>
      <c r="M15" s="27">
        <f>J15*(cost_well_annual+cost_intervention_annual)+K15*cost_disease_annual</f>
        <v/>
      </c>
      <c r="N15" s="26">
        <f>J15*utility_well+K15*utility_disease</f>
        <v/>
      </c>
      <c r="O15" s="26">
        <f>J15+K15</f>
        <v/>
      </c>
      <c r="P15" s="25">
        <f>IF(A15&gt;cycles-1,0,IF(AND(half_cycle=1,OR(A15=0,A15=cycles-1)),0.5,1))</f>
        <v/>
      </c>
      <c r="Q15" s="26">
        <f>1/(1+discount_rate)^A15</f>
        <v/>
      </c>
      <c r="R15" s="27">
        <f>M15*P15*Q15</f>
        <v/>
      </c>
      <c r="S15" s="26">
        <f>N15*P15*Q15</f>
        <v/>
      </c>
      <c r="T15" s="26">
        <f>O15*P15*Q15</f>
        <v/>
      </c>
    </row>
    <row r="16">
      <c r="A16" s="24" t="n">
        <v>12</v>
      </c>
      <c r="B16" s="25">
        <f>start_age+12</f>
        <v/>
      </c>
      <c r="C16" s="26">
        <f>incidence_rate*(1-rrr_intervention)</f>
        <v/>
      </c>
      <c r="D16" s="26">
        <f>1-EXP(-C16*cycle_length)</f>
        <v/>
      </c>
      <c r="E16" s="26">
        <f>1-EXP(-(gompertz_a*EXP(gompertz_b*MAX(0,B16-20)))*cycle_length)</f>
        <v/>
      </c>
      <c r="F16" s="26">
        <f>1-EXP(-excess_mortality_rate*cycle_length)</f>
        <v/>
      </c>
      <c r="G16" s="26">
        <f>IF((D16+E16)&gt;1,D16/(D16+E16),D16)</f>
        <v/>
      </c>
      <c r="H16" s="26">
        <f>IF((D16+E16)&gt;1,E16/(D16+E16),E16)</f>
        <v/>
      </c>
      <c r="I16" s="26">
        <f>MIN(1,E16+F16)</f>
        <v/>
      </c>
      <c r="J16" s="26">
        <f>J15*(1-G15-H15)</f>
        <v/>
      </c>
      <c r="K16" s="26">
        <f>J15*G15+K15*(1-I15)</f>
        <v/>
      </c>
      <c r="L16" s="26">
        <f>L15+J15*H15+K15*I15</f>
        <v/>
      </c>
      <c r="M16" s="27">
        <f>J16*(cost_well_annual+cost_intervention_annual)+K16*cost_disease_annual</f>
        <v/>
      </c>
      <c r="N16" s="26">
        <f>J16*utility_well+K16*utility_disease</f>
        <v/>
      </c>
      <c r="O16" s="26">
        <f>J16+K16</f>
        <v/>
      </c>
      <c r="P16" s="25">
        <f>IF(A16&gt;cycles-1,0,IF(AND(half_cycle=1,OR(A16=0,A16=cycles-1)),0.5,1))</f>
        <v/>
      </c>
      <c r="Q16" s="26">
        <f>1/(1+discount_rate)^A16</f>
        <v/>
      </c>
      <c r="R16" s="27">
        <f>M16*P16*Q16</f>
        <v/>
      </c>
      <c r="S16" s="26">
        <f>N16*P16*Q16</f>
        <v/>
      </c>
      <c r="T16" s="26">
        <f>O16*P16*Q16</f>
        <v/>
      </c>
    </row>
    <row r="17">
      <c r="A17" s="24" t="n">
        <v>13</v>
      </c>
      <c r="B17" s="25">
        <f>start_age+13</f>
        <v/>
      </c>
      <c r="C17" s="26">
        <f>incidence_rate*(1-rrr_intervention)</f>
        <v/>
      </c>
      <c r="D17" s="26">
        <f>1-EXP(-C17*cycle_length)</f>
        <v/>
      </c>
      <c r="E17" s="26">
        <f>1-EXP(-(gompertz_a*EXP(gompertz_b*MAX(0,B17-20)))*cycle_length)</f>
        <v/>
      </c>
      <c r="F17" s="26">
        <f>1-EXP(-excess_mortality_rate*cycle_length)</f>
        <v/>
      </c>
      <c r="G17" s="26">
        <f>IF((D17+E17)&gt;1,D17/(D17+E17),D17)</f>
        <v/>
      </c>
      <c r="H17" s="26">
        <f>IF((D17+E17)&gt;1,E17/(D17+E17),E17)</f>
        <v/>
      </c>
      <c r="I17" s="26">
        <f>MIN(1,E17+F17)</f>
        <v/>
      </c>
      <c r="J17" s="26">
        <f>J16*(1-G16-H16)</f>
        <v/>
      </c>
      <c r="K17" s="26">
        <f>J16*G16+K16*(1-I16)</f>
        <v/>
      </c>
      <c r="L17" s="26">
        <f>L16+J16*H16+K16*I16</f>
        <v/>
      </c>
      <c r="M17" s="27">
        <f>J17*(cost_well_annual+cost_intervention_annual)+K17*cost_disease_annual</f>
        <v/>
      </c>
      <c r="N17" s="26">
        <f>J17*utility_well+K17*utility_disease</f>
        <v/>
      </c>
      <c r="O17" s="26">
        <f>J17+K17</f>
        <v/>
      </c>
      <c r="P17" s="25">
        <f>IF(A17&gt;cycles-1,0,IF(AND(half_cycle=1,OR(A17=0,A17=cycles-1)),0.5,1))</f>
        <v/>
      </c>
      <c r="Q17" s="26">
        <f>1/(1+discount_rate)^A17</f>
        <v/>
      </c>
      <c r="R17" s="27">
        <f>M17*P17*Q17</f>
        <v/>
      </c>
      <c r="S17" s="26">
        <f>N17*P17*Q17</f>
        <v/>
      </c>
      <c r="T17" s="26">
        <f>O17*P17*Q17</f>
        <v/>
      </c>
    </row>
    <row r="18">
      <c r="A18" s="24" t="n">
        <v>14</v>
      </c>
      <c r="B18" s="25">
        <f>start_age+14</f>
        <v/>
      </c>
      <c r="C18" s="26">
        <f>incidence_rate*(1-rrr_intervention)</f>
        <v/>
      </c>
      <c r="D18" s="26">
        <f>1-EXP(-C18*cycle_length)</f>
        <v/>
      </c>
      <c r="E18" s="26">
        <f>1-EXP(-(gompertz_a*EXP(gompertz_b*MAX(0,B18-20)))*cycle_length)</f>
        <v/>
      </c>
      <c r="F18" s="26">
        <f>1-EXP(-excess_mortality_rate*cycle_length)</f>
        <v/>
      </c>
      <c r="G18" s="26">
        <f>IF((D18+E18)&gt;1,D18/(D18+E18),D18)</f>
        <v/>
      </c>
      <c r="H18" s="26">
        <f>IF((D18+E18)&gt;1,E18/(D18+E18),E18)</f>
        <v/>
      </c>
      <c r="I18" s="26">
        <f>MIN(1,E18+F18)</f>
        <v/>
      </c>
      <c r="J18" s="26">
        <f>J17*(1-G17-H17)</f>
        <v/>
      </c>
      <c r="K18" s="26">
        <f>J17*G17+K17*(1-I17)</f>
        <v/>
      </c>
      <c r="L18" s="26">
        <f>L17+J17*H17+K17*I17</f>
        <v/>
      </c>
      <c r="M18" s="27">
        <f>J18*(cost_well_annual+cost_intervention_annual)+K18*cost_disease_annual</f>
        <v/>
      </c>
      <c r="N18" s="26">
        <f>J18*utility_well+K18*utility_disease</f>
        <v/>
      </c>
      <c r="O18" s="26">
        <f>J18+K18</f>
        <v/>
      </c>
      <c r="P18" s="25">
        <f>IF(A18&gt;cycles-1,0,IF(AND(half_cycle=1,OR(A18=0,A18=cycles-1)),0.5,1))</f>
        <v/>
      </c>
      <c r="Q18" s="26">
        <f>1/(1+discount_rate)^A18</f>
        <v/>
      </c>
      <c r="R18" s="27">
        <f>M18*P18*Q18</f>
        <v/>
      </c>
      <c r="S18" s="26">
        <f>N18*P18*Q18</f>
        <v/>
      </c>
      <c r="T18" s="26">
        <f>O18*P18*Q18</f>
        <v/>
      </c>
    </row>
    <row r="19">
      <c r="A19" s="24" t="n">
        <v>15</v>
      </c>
      <c r="B19" s="25">
        <f>start_age+15</f>
        <v/>
      </c>
      <c r="C19" s="26">
        <f>incidence_rate*(1-rrr_intervention)</f>
        <v/>
      </c>
      <c r="D19" s="26">
        <f>1-EXP(-C19*cycle_length)</f>
        <v/>
      </c>
      <c r="E19" s="26">
        <f>1-EXP(-(gompertz_a*EXP(gompertz_b*MAX(0,B19-20)))*cycle_length)</f>
        <v/>
      </c>
      <c r="F19" s="26">
        <f>1-EXP(-excess_mortality_rate*cycle_length)</f>
        <v/>
      </c>
      <c r="G19" s="26">
        <f>IF((D19+E19)&gt;1,D19/(D19+E19),D19)</f>
        <v/>
      </c>
      <c r="H19" s="26">
        <f>IF((D19+E19)&gt;1,E19/(D19+E19),E19)</f>
        <v/>
      </c>
      <c r="I19" s="26">
        <f>MIN(1,E19+F19)</f>
        <v/>
      </c>
      <c r="J19" s="26">
        <f>J18*(1-G18-H18)</f>
        <v/>
      </c>
      <c r="K19" s="26">
        <f>J18*G18+K18*(1-I18)</f>
        <v/>
      </c>
      <c r="L19" s="26">
        <f>L18+J18*H18+K18*I18</f>
        <v/>
      </c>
      <c r="M19" s="27">
        <f>J19*(cost_well_annual+cost_intervention_annual)+K19*cost_disease_annual</f>
        <v/>
      </c>
      <c r="N19" s="26">
        <f>J19*utility_well+K19*utility_disease</f>
        <v/>
      </c>
      <c r="O19" s="26">
        <f>J19+K19</f>
        <v/>
      </c>
      <c r="P19" s="25">
        <f>IF(A19&gt;cycles-1,0,IF(AND(half_cycle=1,OR(A19=0,A19=cycles-1)),0.5,1))</f>
        <v/>
      </c>
      <c r="Q19" s="26">
        <f>1/(1+discount_rate)^A19</f>
        <v/>
      </c>
      <c r="R19" s="27">
        <f>M19*P19*Q19</f>
        <v/>
      </c>
      <c r="S19" s="26">
        <f>N19*P19*Q19</f>
        <v/>
      </c>
      <c r="T19" s="26">
        <f>O19*P19*Q19</f>
        <v/>
      </c>
    </row>
    <row r="20">
      <c r="A20" s="24" t="n">
        <v>16</v>
      </c>
      <c r="B20" s="25">
        <f>start_age+16</f>
        <v/>
      </c>
      <c r="C20" s="26">
        <f>incidence_rate*(1-rrr_intervention)</f>
        <v/>
      </c>
      <c r="D20" s="26">
        <f>1-EXP(-C20*cycle_length)</f>
        <v/>
      </c>
      <c r="E20" s="26">
        <f>1-EXP(-(gompertz_a*EXP(gompertz_b*MAX(0,B20-20)))*cycle_length)</f>
        <v/>
      </c>
      <c r="F20" s="26">
        <f>1-EXP(-excess_mortality_rate*cycle_length)</f>
        <v/>
      </c>
      <c r="G20" s="26">
        <f>IF((D20+E20)&gt;1,D20/(D20+E20),D20)</f>
        <v/>
      </c>
      <c r="H20" s="26">
        <f>IF((D20+E20)&gt;1,E20/(D20+E20),E20)</f>
        <v/>
      </c>
      <c r="I20" s="26">
        <f>MIN(1,E20+F20)</f>
        <v/>
      </c>
      <c r="J20" s="26">
        <f>J19*(1-G19-H19)</f>
        <v/>
      </c>
      <c r="K20" s="26">
        <f>J19*G19+K19*(1-I19)</f>
        <v/>
      </c>
      <c r="L20" s="26">
        <f>L19+J19*H19+K19*I19</f>
        <v/>
      </c>
      <c r="M20" s="27">
        <f>J20*(cost_well_annual+cost_intervention_annual)+K20*cost_disease_annual</f>
        <v/>
      </c>
      <c r="N20" s="26">
        <f>J20*utility_well+K20*utility_disease</f>
        <v/>
      </c>
      <c r="O20" s="26">
        <f>J20+K20</f>
        <v/>
      </c>
      <c r="P20" s="25">
        <f>IF(A20&gt;cycles-1,0,IF(AND(half_cycle=1,OR(A20=0,A20=cycles-1)),0.5,1))</f>
        <v/>
      </c>
      <c r="Q20" s="26">
        <f>1/(1+discount_rate)^A20</f>
        <v/>
      </c>
      <c r="R20" s="27">
        <f>M20*P20*Q20</f>
        <v/>
      </c>
      <c r="S20" s="26">
        <f>N20*P20*Q20</f>
        <v/>
      </c>
      <c r="T20" s="26">
        <f>O20*P20*Q20</f>
        <v/>
      </c>
    </row>
    <row r="21">
      <c r="A21" s="24" t="n">
        <v>17</v>
      </c>
      <c r="B21" s="25">
        <f>start_age+17</f>
        <v/>
      </c>
      <c r="C21" s="26">
        <f>incidence_rate*(1-rrr_intervention)</f>
        <v/>
      </c>
      <c r="D21" s="26">
        <f>1-EXP(-C21*cycle_length)</f>
        <v/>
      </c>
      <c r="E21" s="26">
        <f>1-EXP(-(gompertz_a*EXP(gompertz_b*MAX(0,B21-20)))*cycle_length)</f>
        <v/>
      </c>
      <c r="F21" s="26">
        <f>1-EXP(-excess_mortality_rate*cycle_length)</f>
        <v/>
      </c>
      <c r="G21" s="26">
        <f>IF((D21+E21)&gt;1,D21/(D21+E21),D21)</f>
        <v/>
      </c>
      <c r="H21" s="26">
        <f>IF((D21+E21)&gt;1,E21/(D21+E21),E21)</f>
        <v/>
      </c>
      <c r="I21" s="26">
        <f>MIN(1,E21+F21)</f>
        <v/>
      </c>
      <c r="J21" s="26">
        <f>J20*(1-G20-H20)</f>
        <v/>
      </c>
      <c r="K21" s="26">
        <f>J20*G20+K20*(1-I20)</f>
        <v/>
      </c>
      <c r="L21" s="26">
        <f>L20+J20*H20+K20*I20</f>
        <v/>
      </c>
      <c r="M21" s="27">
        <f>J21*(cost_well_annual+cost_intervention_annual)+K21*cost_disease_annual</f>
        <v/>
      </c>
      <c r="N21" s="26">
        <f>J21*utility_well+K21*utility_disease</f>
        <v/>
      </c>
      <c r="O21" s="26">
        <f>J21+K21</f>
        <v/>
      </c>
      <c r="P21" s="25">
        <f>IF(A21&gt;cycles-1,0,IF(AND(half_cycle=1,OR(A21=0,A21=cycles-1)),0.5,1))</f>
        <v/>
      </c>
      <c r="Q21" s="26">
        <f>1/(1+discount_rate)^A21</f>
        <v/>
      </c>
      <c r="R21" s="27">
        <f>M21*P21*Q21</f>
        <v/>
      </c>
      <c r="S21" s="26">
        <f>N21*P21*Q21</f>
        <v/>
      </c>
      <c r="T21" s="26">
        <f>O21*P21*Q21</f>
        <v/>
      </c>
    </row>
    <row r="22">
      <c r="A22" s="24" t="n">
        <v>18</v>
      </c>
      <c r="B22" s="25">
        <f>start_age+18</f>
        <v/>
      </c>
      <c r="C22" s="26">
        <f>incidence_rate*(1-rrr_intervention)</f>
        <v/>
      </c>
      <c r="D22" s="26">
        <f>1-EXP(-C22*cycle_length)</f>
        <v/>
      </c>
      <c r="E22" s="26">
        <f>1-EXP(-(gompertz_a*EXP(gompertz_b*MAX(0,B22-20)))*cycle_length)</f>
        <v/>
      </c>
      <c r="F22" s="26">
        <f>1-EXP(-excess_mortality_rate*cycle_length)</f>
        <v/>
      </c>
      <c r="G22" s="26">
        <f>IF((D22+E22)&gt;1,D22/(D22+E22),D22)</f>
        <v/>
      </c>
      <c r="H22" s="26">
        <f>IF((D22+E22)&gt;1,E22/(D22+E22),E22)</f>
        <v/>
      </c>
      <c r="I22" s="26">
        <f>MIN(1,E22+F22)</f>
        <v/>
      </c>
      <c r="J22" s="26">
        <f>J21*(1-G21-H21)</f>
        <v/>
      </c>
      <c r="K22" s="26">
        <f>J21*G21+K21*(1-I21)</f>
        <v/>
      </c>
      <c r="L22" s="26">
        <f>L21+J21*H21+K21*I21</f>
        <v/>
      </c>
      <c r="M22" s="27">
        <f>J22*(cost_well_annual+cost_intervention_annual)+K22*cost_disease_annual</f>
        <v/>
      </c>
      <c r="N22" s="26">
        <f>J22*utility_well+K22*utility_disease</f>
        <v/>
      </c>
      <c r="O22" s="26">
        <f>J22+K22</f>
        <v/>
      </c>
      <c r="P22" s="25">
        <f>IF(A22&gt;cycles-1,0,IF(AND(half_cycle=1,OR(A22=0,A22=cycles-1)),0.5,1))</f>
        <v/>
      </c>
      <c r="Q22" s="26">
        <f>1/(1+discount_rate)^A22</f>
        <v/>
      </c>
      <c r="R22" s="27">
        <f>M22*P22*Q22</f>
        <v/>
      </c>
      <c r="S22" s="26">
        <f>N22*P22*Q22</f>
        <v/>
      </c>
      <c r="T22" s="26">
        <f>O22*P22*Q22</f>
        <v/>
      </c>
    </row>
    <row r="23">
      <c r="A23" s="24" t="n">
        <v>19</v>
      </c>
      <c r="B23" s="25">
        <f>start_age+19</f>
        <v/>
      </c>
      <c r="C23" s="26">
        <f>incidence_rate*(1-rrr_intervention)</f>
        <v/>
      </c>
      <c r="D23" s="26">
        <f>1-EXP(-C23*cycle_length)</f>
        <v/>
      </c>
      <c r="E23" s="26">
        <f>1-EXP(-(gompertz_a*EXP(gompertz_b*MAX(0,B23-20)))*cycle_length)</f>
        <v/>
      </c>
      <c r="F23" s="26">
        <f>1-EXP(-excess_mortality_rate*cycle_length)</f>
        <v/>
      </c>
      <c r="G23" s="26">
        <f>IF((D23+E23)&gt;1,D23/(D23+E23),D23)</f>
        <v/>
      </c>
      <c r="H23" s="26">
        <f>IF((D23+E23)&gt;1,E23/(D23+E23),E23)</f>
        <v/>
      </c>
      <c r="I23" s="26">
        <f>MIN(1,E23+F23)</f>
        <v/>
      </c>
      <c r="J23" s="26">
        <f>J22*(1-G22-H22)</f>
        <v/>
      </c>
      <c r="K23" s="26">
        <f>J22*G22+K22*(1-I22)</f>
        <v/>
      </c>
      <c r="L23" s="26">
        <f>L22+J22*H22+K22*I22</f>
        <v/>
      </c>
      <c r="M23" s="27">
        <f>J23*(cost_well_annual+cost_intervention_annual)+K23*cost_disease_annual</f>
        <v/>
      </c>
      <c r="N23" s="26">
        <f>J23*utility_well+K23*utility_disease</f>
        <v/>
      </c>
      <c r="O23" s="26">
        <f>J23+K23</f>
        <v/>
      </c>
      <c r="P23" s="25">
        <f>IF(A23&gt;cycles-1,0,IF(AND(half_cycle=1,OR(A23=0,A23=cycles-1)),0.5,1))</f>
        <v/>
      </c>
      <c r="Q23" s="26">
        <f>1/(1+discount_rate)^A23</f>
        <v/>
      </c>
      <c r="R23" s="27">
        <f>M23*P23*Q23</f>
        <v/>
      </c>
      <c r="S23" s="26">
        <f>N23*P23*Q23</f>
        <v/>
      </c>
      <c r="T23" s="26">
        <f>O23*P23*Q23</f>
        <v/>
      </c>
    </row>
    <row r="24">
      <c r="A24" s="24" t="n">
        <v>20</v>
      </c>
      <c r="B24" s="25">
        <f>start_age+20</f>
        <v/>
      </c>
      <c r="C24" s="26">
        <f>incidence_rate*(1-rrr_intervention)</f>
        <v/>
      </c>
      <c r="D24" s="26">
        <f>1-EXP(-C24*cycle_length)</f>
        <v/>
      </c>
      <c r="E24" s="26">
        <f>1-EXP(-(gompertz_a*EXP(gompertz_b*MAX(0,B24-20)))*cycle_length)</f>
        <v/>
      </c>
      <c r="F24" s="26">
        <f>1-EXP(-excess_mortality_rate*cycle_length)</f>
        <v/>
      </c>
      <c r="G24" s="26">
        <f>IF((D24+E24)&gt;1,D24/(D24+E24),D24)</f>
        <v/>
      </c>
      <c r="H24" s="26">
        <f>IF((D24+E24)&gt;1,E24/(D24+E24),E24)</f>
        <v/>
      </c>
      <c r="I24" s="26">
        <f>MIN(1,E24+F24)</f>
        <v/>
      </c>
      <c r="J24" s="26">
        <f>J23*(1-G23-H23)</f>
        <v/>
      </c>
      <c r="K24" s="26">
        <f>J23*G23+K23*(1-I23)</f>
        <v/>
      </c>
      <c r="L24" s="26">
        <f>L23+J23*H23+K23*I23</f>
        <v/>
      </c>
      <c r="M24" s="27">
        <f>J24*(cost_well_annual+cost_intervention_annual)+K24*cost_disease_annual</f>
        <v/>
      </c>
      <c r="N24" s="26">
        <f>J24*utility_well+K24*utility_disease</f>
        <v/>
      </c>
      <c r="O24" s="26">
        <f>J24+K24</f>
        <v/>
      </c>
      <c r="P24" s="25">
        <f>IF(A24&gt;cycles-1,0,IF(AND(half_cycle=1,OR(A24=0,A24=cycles-1)),0.5,1))</f>
        <v/>
      </c>
      <c r="Q24" s="26">
        <f>1/(1+discount_rate)^A24</f>
        <v/>
      </c>
      <c r="R24" s="27">
        <f>M24*P24*Q24</f>
        <v/>
      </c>
      <c r="S24" s="26">
        <f>N24*P24*Q24</f>
        <v/>
      </c>
      <c r="T24" s="26">
        <f>O24*P24*Q24</f>
        <v/>
      </c>
    </row>
    <row r="25">
      <c r="A25" s="24" t="n">
        <v>21</v>
      </c>
      <c r="B25" s="25">
        <f>start_age+21</f>
        <v/>
      </c>
      <c r="C25" s="26">
        <f>incidence_rate*(1-rrr_intervention)</f>
        <v/>
      </c>
      <c r="D25" s="26">
        <f>1-EXP(-C25*cycle_length)</f>
        <v/>
      </c>
      <c r="E25" s="26">
        <f>1-EXP(-(gompertz_a*EXP(gompertz_b*MAX(0,B25-20)))*cycle_length)</f>
        <v/>
      </c>
      <c r="F25" s="26">
        <f>1-EXP(-excess_mortality_rate*cycle_length)</f>
        <v/>
      </c>
      <c r="G25" s="26">
        <f>IF((D25+E25)&gt;1,D25/(D25+E25),D25)</f>
        <v/>
      </c>
      <c r="H25" s="26">
        <f>IF((D25+E25)&gt;1,E25/(D25+E25),E25)</f>
        <v/>
      </c>
      <c r="I25" s="26">
        <f>MIN(1,E25+F25)</f>
        <v/>
      </c>
      <c r="J25" s="26">
        <f>J24*(1-G24-H24)</f>
        <v/>
      </c>
      <c r="K25" s="26">
        <f>J24*G24+K24*(1-I24)</f>
        <v/>
      </c>
      <c r="L25" s="26">
        <f>L24+J24*H24+K24*I24</f>
        <v/>
      </c>
      <c r="M25" s="27">
        <f>J25*(cost_well_annual+cost_intervention_annual)+K25*cost_disease_annual</f>
        <v/>
      </c>
      <c r="N25" s="26">
        <f>J25*utility_well+K25*utility_disease</f>
        <v/>
      </c>
      <c r="O25" s="26">
        <f>J25+K25</f>
        <v/>
      </c>
      <c r="P25" s="25">
        <f>IF(A25&gt;cycles-1,0,IF(AND(half_cycle=1,OR(A25=0,A25=cycles-1)),0.5,1))</f>
        <v/>
      </c>
      <c r="Q25" s="26">
        <f>1/(1+discount_rate)^A25</f>
        <v/>
      </c>
      <c r="R25" s="27">
        <f>M25*P25*Q25</f>
        <v/>
      </c>
      <c r="S25" s="26">
        <f>N25*P25*Q25</f>
        <v/>
      </c>
      <c r="T25" s="26">
        <f>O25*P25*Q25</f>
        <v/>
      </c>
    </row>
    <row r="26">
      <c r="A26" s="24" t="n">
        <v>22</v>
      </c>
      <c r="B26" s="25">
        <f>start_age+22</f>
        <v/>
      </c>
      <c r="C26" s="26">
        <f>incidence_rate*(1-rrr_intervention)</f>
        <v/>
      </c>
      <c r="D26" s="26">
        <f>1-EXP(-C26*cycle_length)</f>
        <v/>
      </c>
      <c r="E26" s="26">
        <f>1-EXP(-(gompertz_a*EXP(gompertz_b*MAX(0,B26-20)))*cycle_length)</f>
        <v/>
      </c>
      <c r="F26" s="26">
        <f>1-EXP(-excess_mortality_rate*cycle_length)</f>
        <v/>
      </c>
      <c r="G26" s="26">
        <f>IF((D26+E26)&gt;1,D26/(D26+E26),D26)</f>
        <v/>
      </c>
      <c r="H26" s="26">
        <f>IF((D26+E26)&gt;1,E26/(D26+E26),E26)</f>
        <v/>
      </c>
      <c r="I26" s="26">
        <f>MIN(1,E26+F26)</f>
        <v/>
      </c>
      <c r="J26" s="26">
        <f>J25*(1-G25-H25)</f>
        <v/>
      </c>
      <c r="K26" s="26">
        <f>J25*G25+K25*(1-I25)</f>
        <v/>
      </c>
      <c r="L26" s="26">
        <f>L25+J25*H25+K25*I25</f>
        <v/>
      </c>
      <c r="M26" s="27">
        <f>J26*(cost_well_annual+cost_intervention_annual)+K26*cost_disease_annual</f>
        <v/>
      </c>
      <c r="N26" s="26">
        <f>J26*utility_well+K26*utility_disease</f>
        <v/>
      </c>
      <c r="O26" s="26">
        <f>J26+K26</f>
        <v/>
      </c>
      <c r="P26" s="25">
        <f>IF(A26&gt;cycles-1,0,IF(AND(half_cycle=1,OR(A26=0,A26=cycles-1)),0.5,1))</f>
        <v/>
      </c>
      <c r="Q26" s="26">
        <f>1/(1+discount_rate)^A26</f>
        <v/>
      </c>
      <c r="R26" s="27">
        <f>M26*P26*Q26</f>
        <v/>
      </c>
      <c r="S26" s="26">
        <f>N26*P26*Q26</f>
        <v/>
      </c>
      <c r="T26" s="26">
        <f>O26*P26*Q26</f>
        <v/>
      </c>
    </row>
    <row r="27">
      <c r="A27" s="24" t="n">
        <v>23</v>
      </c>
      <c r="B27" s="25">
        <f>start_age+23</f>
        <v/>
      </c>
      <c r="C27" s="26">
        <f>incidence_rate*(1-rrr_intervention)</f>
        <v/>
      </c>
      <c r="D27" s="26">
        <f>1-EXP(-C27*cycle_length)</f>
        <v/>
      </c>
      <c r="E27" s="26">
        <f>1-EXP(-(gompertz_a*EXP(gompertz_b*MAX(0,B27-20)))*cycle_length)</f>
        <v/>
      </c>
      <c r="F27" s="26">
        <f>1-EXP(-excess_mortality_rate*cycle_length)</f>
        <v/>
      </c>
      <c r="G27" s="26">
        <f>IF((D27+E27)&gt;1,D27/(D27+E27),D27)</f>
        <v/>
      </c>
      <c r="H27" s="26">
        <f>IF((D27+E27)&gt;1,E27/(D27+E27),E27)</f>
        <v/>
      </c>
      <c r="I27" s="26">
        <f>MIN(1,E27+F27)</f>
        <v/>
      </c>
      <c r="J27" s="26">
        <f>J26*(1-G26-H26)</f>
        <v/>
      </c>
      <c r="K27" s="26">
        <f>J26*G26+K26*(1-I26)</f>
        <v/>
      </c>
      <c r="L27" s="26">
        <f>L26+J26*H26+K26*I26</f>
        <v/>
      </c>
      <c r="M27" s="27">
        <f>J27*(cost_well_annual+cost_intervention_annual)+K27*cost_disease_annual</f>
        <v/>
      </c>
      <c r="N27" s="26">
        <f>J27*utility_well+K27*utility_disease</f>
        <v/>
      </c>
      <c r="O27" s="26">
        <f>J27+K27</f>
        <v/>
      </c>
      <c r="P27" s="25">
        <f>IF(A27&gt;cycles-1,0,IF(AND(half_cycle=1,OR(A27=0,A27=cycles-1)),0.5,1))</f>
        <v/>
      </c>
      <c r="Q27" s="26">
        <f>1/(1+discount_rate)^A27</f>
        <v/>
      </c>
      <c r="R27" s="27">
        <f>M27*P27*Q27</f>
        <v/>
      </c>
      <c r="S27" s="26">
        <f>N27*P27*Q27</f>
        <v/>
      </c>
      <c r="T27" s="26">
        <f>O27*P27*Q27</f>
        <v/>
      </c>
    </row>
    <row r="28">
      <c r="A28" s="24" t="n">
        <v>24</v>
      </c>
      <c r="B28" s="25">
        <f>start_age+24</f>
        <v/>
      </c>
      <c r="C28" s="26">
        <f>incidence_rate*(1-rrr_intervention)</f>
        <v/>
      </c>
      <c r="D28" s="26">
        <f>1-EXP(-C28*cycle_length)</f>
        <v/>
      </c>
      <c r="E28" s="26">
        <f>1-EXP(-(gompertz_a*EXP(gompertz_b*MAX(0,B28-20)))*cycle_length)</f>
        <v/>
      </c>
      <c r="F28" s="26">
        <f>1-EXP(-excess_mortality_rate*cycle_length)</f>
        <v/>
      </c>
      <c r="G28" s="26">
        <f>IF((D28+E28)&gt;1,D28/(D28+E28),D28)</f>
        <v/>
      </c>
      <c r="H28" s="26">
        <f>IF((D28+E28)&gt;1,E28/(D28+E28),E28)</f>
        <v/>
      </c>
      <c r="I28" s="26">
        <f>MIN(1,E28+F28)</f>
        <v/>
      </c>
      <c r="J28" s="26">
        <f>J27*(1-G27-H27)</f>
        <v/>
      </c>
      <c r="K28" s="26">
        <f>J27*G27+K27*(1-I27)</f>
        <v/>
      </c>
      <c r="L28" s="26">
        <f>L27+J27*H27+K27*I27</f>
        <v/>
      </c>
      <c r="M28" s="27">
        <f>J28*(cost_well_annual+cost_intervention_annual)+K28*cost_disease_annual</f>
        <v/>
      </c>
      <c r="N28" s="26">
        <f>J28*utility_well+K28*utility_disease</f>
        <v/>
      </c>
      <c r="O28" s="26">
        <f>J28+K28</f>
        <v/>
      </c>
      <c r="P28" s="25">
        <f>IF(A28&gt;cycles-1,0,IF(AND(half_cycle=1,OR(A28=0,A28=cycles-1)),0.5,1))</f>
        <v/>
      </c>
      <c r="Q28" s="26">
        <f>1/(1+discount_rate)^A28</f>
        <v/>
      </c>
      <c r="R28" s="27">
        <f>M28*P28*Q28</f>
        <v/>
      </c>
      <c r="S28" s="26">
        <f>N28*P28*Q28</f>
        <v/>
      </c>
      <c r="T28" s="26">
        <f>O28*P28*Q28</f>
        <v/>
      </c>
    </row>
    <row r="29">
      <c r="A29" s="24" t="n">
        <v>25</v>
      </c>
      <c r="B29" s="25">
        <f>start_age+25</f>
        <v/>
      </c>
      <c r="C29" s="26">
        <f>incidence_rate*(1-rrr_intervention)</f>
        <v/>
      </c>
      <c r="D29" s="26">
        <f>1-EXP(-C29*cycle_length)</f>
        <v/>
      </c>
      <c r="E29" s="26">
        <f>1-EXP(-(gompertz_a*EXP(gompertz_b*MAX(0,B29-20)))*cycle_length)</f>
        <v/>
      </c>
      <c r="F29" s="26">
        <f>1-EXP(-excess_mortality_rate*cycle_length)</f>
        <v/>
      </c>
      <c r="G29" s="26">
        <f>IF((D29+E29)&gt;1,D29/(D29+E29),D29)</f>
        <v/>
      </c>
      <c r="H29" s="26">
        <f>IF((D29+E29)&gt;1,E29/(D29+E29),E29)</f>
        <v/>
      </c>
      <c r="I29" s="26">
        <f>MIN(1,E29+F29)</f>
        <v/>
      </c>
      <c r="J29" s="26">
        <f>J28*(1-G28-H28)</f>
        <v/>
      </c>
      <c r="K29" s="26">
        <f>J28*G28+K28*(1-I28)</f>
        <v/>
      </c>
      <c r="L29" s="26">
        <f>L28+J28*H28+K28*I28</f>
        <v/>
      </c>
      <c r="M29" s="27">
        <f>J29*(cost_well_annual+cost_intervention_annual)+K29*cost_disease_annual</f>
        <v/>
      </c>
      <c r="N29" s="26">
        <f>J29*utility_well+K29*utility_disease</f>
        <v/>
      </c>
      <c r="O29" s="26">
        <f>J29+K29</f>
        <v/>
      </c>
      <c r="P29" s="25">
        <f>IF(A29&gt;cycles-1,0,IF(AND(half_cycle=1,OR(A29=0,A29=cycles-1)),0.5,1))</f>
        <v/>
      </c>
      <c r="Q29" s="26">
        <f>1/(1+discount_rate)^A29</f>
        <v/>
      </c>
      <c r="R29" s="27">
        <f>M29*P29*Q29</f>
        <v/>
      </c>
      <c r="S29" s="26">
        <f>N29*P29*Q29</f>
        <v/>
      </c>
      <c r="T29" s="26">
        <f>O29*P29*Q29</f>
        <v/>
      </c>
    </row>
    <row r="30">
      <c r="A30" s="24" t="n">
        <v>26</v>
      </c>
      <c r="B30" s="25">
        <f>start_age+26</f>
        <v/>
      </c>
      <c r="C30" s="26">
        <f>incidence_rate*(1-rrr_intervention)</f>
        <v/>
      </c>
      <c r="D30" s="26">
        <f>1-EXP(-C30*cycle_length)</f>
        <v/>
      </c>
      <c r="E30" s="26">
        <f>1-EXP(-(gompertz_a*EXP(gompertz_b*MAX(0,B30-20)))*cycle_length)</f>
        <v/>
      </c>
      <c r="F30" s="26">
        <f>1-EXP(-excess_mortality_rate*cycle_length)</f>
        <v/>
      </c>
      <c r="G30" s="26">
        <f>IF((D30+E30)&gt;1,D30/(D30+E30),D30)</f>
        <v/>
      </c>
      <c r="H30" s="26">
        <f>IF((D30+E30)&gt;1,E30/(D30+E30),E30)</f>
        <v/>
      </c>
      <c r="I30" s="26">
        <f>MIN(1,E30+F30)</f>
        <v/>
      </c>
      <c r="J30" s="26">
        <f>J29*(1-G29-H29)</f>
        <v/>
      </c>
      <c r="K30" s="26">
        <f>J29*G29+K29*(1-I29)</f>
        <v/>
      </c>
      <c r="L30" s="26">
        <f>L29+J29*H29+K29*I29</f>
        <v/>
      </c>
      <c r="M30" s="27">
        <f>J30*(cost_well_annual+cost_intervention_annual)+K30*cost_disease_annual</f>
        <v/>
      </c>
      <c r="N30" s="26">
        <f>J30*utility_well+K30*utility_disease</f>
        <v/>
      </c>
      <c r="O30" s="26">
        <f>J30+K30</f>
        <v/>
      </c>
      <c r="P30" s="25">
        <f>IF(A30&gt;cycles-1,0,IF(AND(half_cycle=1,OR(A30=0,A30=cycles-1)),0.5,1))</f>
        <v/>
      </c>
      <c r="Q30" s="26">
        <f>1/(1+discount_rate)^A30</f>
        <v/>
      </c>
      <c r="R30" s="27">
        <f>M30*P30*Q30</f>
        <v/>
      </c>
      <c r="S30" s="26">
        <f>N30*P30*Q30</f>
        <v/>
      </c>
      <c r="T30" s="26">
        <f>O30*P30*Q30</f>
        <v/>
      </c>
    </row>
    <row r="31">
      <c r="A31" s="24" t="n">
        <v>27</v>
      </c>
      <c r="B31" s="25">
        <f>start_age+27</f>
        <v/>
      </c>
      <c r="C31" s="26">
        <f>incidence_rate*(1-rrr_intervention)</f>
        <v/>
      </c>
      <c r="D31" s="26">
        <f>1-EXP(-C31*cycle_length)</f>
        <v/>
      </c>
      <c r="E31" s="26">
        <f>1-EXP(-(gompertz_a*EXP(gompertz_b*MAX(0,B31-20)))*cycle_length)</f>
        <v/>
      </c>
      <c r="F31" s="26">
        <f>1-EXP(-excess_mortality_rate*cycle_length)</f>
        <v/>
      </c>
      <c r="G31" s="26">
        <f>IF((D31+E31)&gt;1,D31/(D31+E31),D31)</f>
        <v/>
      </c>
      <c r="H31" s="26">
        <f>IF((D31+E31)&gt;1,E31/(D31+E31),E31)</f>
        <v/>
      </c>
      <c r="I31" s="26">
        <f>MIN(1,E31+F31)</f>
        <v/>
      </c>
      <c r="J31" s="26">
        <f>J30*(1-G30-H30)</f>
        <v/>
      </c>
      <c r="K31" s="26">
        <f>J30*G30+K30*(1-I30)</f>
        <v/>
      </c>
      <c r="L31" s="26">
        <f>L30+J30*H30+K30*I30</f>
        <v/>
      </c>
      <c r="M31" s="27">
        <f>J31*(cost_well_annual+cost_intervention_annual)+K31*cost_disease_annual</f>
        <v/>
      </c>
      <c r="N31" s="26">
        <f>J31*utility_well+K31*utility_disease</f>
        <v/>
      </c>
      <c r="O31" s="26">
        <f>J31+K31</f>
        <v/>
      </c>
      <c r="P31" s="25">
        <f>IF(A31&gt;cycles-1,0,IF(AND(half_cycle=1,OR(A31=0,A31=cycles-1)),0.5,1))</f>
        <v/>
      </c>
      <c r="Q31" s="26">
        <f>1/(1+discount_rate)^A31</f>
        <v/>
      </c>
      <c r="R31" s="27">
        <f>M31*P31*Q31</f>
        <v/>
      </c>
      <c r="S31" s="26">
        <f>N31*P31*Q31</f>
        <v/>
      </c>
      <c r="T31" s="26">
        <f>O31*P31*Q31</f>
        <v/>
      </c>
    </row>
    <row r="32">
      <c r="A32" s="24" t="n">
        <v>28</v>
      </c>
      <c r="B32" s="25">
        <f>start_age+28</f>
        <v/>
      </c>
      <c r="C32" s="26">
        <f>incidence_rate*(1-rrr_intervention)</f>
        <v/>
      </c>
      <c r="D32" s="26">
        <f>1-EXP(-C32*cycle_length)</f>
        <v/>
      </c>
      <c r="E32" s="26">
        <f>1-EXP(-(gompertz_a*EXP(gompertz_b*MAX(0,B32-20)))*cycle_length)</f>
        <v/>
      </c>
      <c r="F32" s="26">
        <f>1-EXP(-excess_mortality_rate*cycle_length)</f>
        <v/>
      </c>
      <c r="G32" s="26">
        <f>IF((D32+E32)&gt;1,D32/(D32+E32),D32)</f>
        <v/>
      </c>
      <c r="H32" s="26">
        <f>IF((D32+E32)&gt;1,E32/(D32+E32),E32)</f>
        <v/>
      </c>
      <c r="I32" s="26">
        <f>MIN(1,E32+F32)</f>
        <v/>
      </c>
      <c r="J32" s="26">
        <f>J31*(1-G31-H31)</f>
        <v/>
      </c>
      <c r="K32" s="26">
        <f>J31*G31+K31*(1-I31)</f>
        <v/>
      </c>
      <c r="L32" s="26">
        <f>L31+J31*H31+K31*I31</f>
        <v/>
      </c>
      <c r="M32" s="27">
        <f>J32*(cost_well_annual+cost_intervention_annual)+K32*cost_disease_annual</f>
        <v/>
      </c>
      <c r="N32" s="26">
        <f>J32*utility_well+K32*utility_disease</f>
        <v/>
      </c>
      <c r="O32" s="26">
        <f>J32+K32</f>
        <v/>
      </c>
      <c r="P32" s="25">
        <f>IF(A32&gt;cycles-1,0,IF(AND(half_cycle=1,OR(A32=0,A32=cycles-1)),0.5,1))</f>
        <v/>
      </c>
      <c r="Q32" s="26">
        <f>1/(1+discount_rate)^A32</f>
        <v/>
      </c>
      <c r="R32" s="27">
        <f>M32*P32*Q32</f>
        <v/>
      </c>
      <c r="S32" s="26">
        <f>N32*P32*Q32</f>
        <v/>
      </c>
      <c r="T32" s="26">
        <f>O32*P32*Q32</f>
        <v/>
      </c>
    </row>
    <row r="33">
      <c r="A33" s="24" t="n">
        <v>29</v>
      </c>
      <c r="B33" s="25">
        <f>start_age+29</f>
        <v/>
      </c>
      <c r="C33" s="26">
        <f>incidence_rate*(1-rrr_intervention)</f>
        <v/>
      </c>
      <c r="D33" s="26">
        <f>1-EXP(-C33*cycle_length)</f>
        <v/>
      </c>
      <c r="E33" s="26">
        <f>1-EXP(-(gompertz_a*EXP(gompertz_b*MAX(0,B33-20)))*cycle_length)</f>
        <v/>
      </c>
      <c r="F33" s="26">
        <f>1-EXP(-excess_mortality_rate*cycle_length)</f>
        <v/>
      </c>
      <c r="G33" s="26">
        <f>IF((D33+E33)&gt;1,D33/(D33+E33),D33)</f>
        <v/>
      </c>
      <c r="H33" s="26">
        <f>IF((D33+E33)&gt;1,E33/(D33+E33),E33)</f>
        <v/>
      </c>
      <c r="I33" s="26">
        <f>MIN(1,E33+F33)</f>
        <v/>
      </c>
      <c r="J33" s="26">
        <f>J32*(1-G32-H32)</f>
        <v/>
      </c>
      <c r="K33" s="26">
        <f>J32*G32+K32*(1-I32)</f>
        <v/>
      </c>
      <c r="L33" s="26">
        <f>L32+J32*H32+K32*I32</f>
        <v/>
      </c>
      <c r="M33" s="27">
        <f>J33*(cost_well_annual+cost_intervention_annual)+K33*cost_disease_annual</f>
        <v/>
      </c>
      <c r="N33" s="26">
        <f>J33*utility_well+K33*utility_disease</f>
        <v/>
      </c>
      <c r="O33" s="26">
        <f>J33+K33</f>
        <v/>
      </c>
      <c r="P33" s="25">
        <f>IF(A33&gt;cycles-1,0,IF(AND(half_cycle=1,OR(A33=0,A33=cycles-1)),0.5,1))</f>
        <v/>
      </c>
      <c r="Q33" s="26">
        <f>1/(1+discount_rate)^A33</f>
        <v/>
      </c>
      <c r="R33" s="27">
        <f>M33*P33*Q33</f>
        <v/>
      </c>
      <c r="S33" s="26">
        <f>N33*P33*Q33</f>
        <v/>
      </c>
      <c r="T33" s="26">
        <f>O33*P33*Q33</f>
        <v/>
      </c>
    </row>
    <row r="34">
      <c r="A34" s="24" t="n">
        <v>30</v>
      </c>
      <c r="B34" s="25">
        <f>start_age+30</f>
        <v/>
      </c>
      <c r="C34" s="26">
        <f>incidence_rate*(1-rrr_intervention)</f>
        <v/>
      </c>
      <c r="D34" s="26">
        <f>1-EXP(-C34*cycle_length)</f>
        <v/>
      </c>
      <c r="E34" s="26">
        <f>1-EXP(-(gompertz_a*EXP(gompertz_b*MAX(0,B34-20)))*cycle_length)</f>
        <v/>
      </c>
      <c r="F34" s="26">
        <f>1-EXP(-excess_mortality_rate*cycle_length)</f>
        <v/>
      </c>
      <c r="G34" s="26">
        <f>IF((D34+E34)&gt;1,D34/(D34+E34),D34)</f>
        <v/>
      </c>
      <c r="H34" s="26">
        <f>IF((D34+E34)&gt;1,E34/(D34+E34),E34)</f>
        <v/>
      </c>
      <c r="I34" s="26">
        <f>MIN(1,E34+F34)</f>
        <v/>
      </c>
      <c r="J34" s="26">
        <f>J33*(1-G33-H33)</f>
        <v/>
      </c>
      <c r="K34" s="26">
        <f>J33*G33+K33*(1-I33)</f>
        <v/>
      </c>
      <c r="L34" s="26">
        <f>L33+J33*H33+K33*I33</f>
        <v/>
      </c>
      <c r="M34" s="27">
        <f>J34*(cost_well_annual+cost_intervention_annual)+K34*cost_disease_annual</f>
        <v/>
      </c>
      <c r="N34" s="26">
        <f>J34*utility_well+K34*utility_disease</f>
        <v/>
      </c>
      <c r="O34" s="26">
        <f>J34+K34</f>
        <v/>
      </c>
      <c r="P34" s="25">
        <f>IF(A34&gt;cycles-1,0,IF(AND(half_cycle=1,OR(A34=0,A34=cycles-1)),0.5,1))</f>
        <v/>
      </c>
      <c r="Q34" s="26">
        <f>1/(1+discount_rate)^A34</f>
        <v/>
      </c>
      <c r="R34" s="27">
        <f>M34*P34*Q34</f>
        <v/>
      </c>
      <c r="S34" s="26">
        <f>N34*P34*Q34</f>
        <v/>
      </c>
      <c r="T34" s="26">
        <f>O34*P34*Q34</f>
        <v/>
      </c>
    </row>
    <row r="35">
      <c r="A35" s="24" t="n">
        <v>31</v>
      </c>
      <c r="B35" s="25">
        <f>start_age+31</f>
        <v/>
      </c>
      <c r="C35" s="26">
        <f>incidence_rate*(1-rrr_intervention)</f>
        <v/>
      </c>
      <c r="D35" s="26">
        <f>1-EXP(-C35*cycle_length)</f>
        <v/>
      </c>
      <c r="E35" s="26">
        <f>1-EXP(-(gompertz_a*EXP(gompertz_b*MAX(0,B35-20)))*cycle_length)</f>
        <v/>
      </c>
      <c r="F35" s="26">
        <f>1-EXP(-excess_mortality_rate*cycle_length)</f>
        <v/>
      </c>
      <c r="G35" s="26">
        <f>IF((D35+E35)&gt;1,D35/(D35+E35),D35)</f>
        <v/>
      </c>
      <c r="H35" s="26">
        <f>IF((D35+E35)&gt;1,E35/(D35+E35),E35)</f>
        <v/>
      </c>
      <c r="I35" s="26">
        <f>MIN(1,E35+F35)</f>
        <v/>
      </c>
      <c r="J35" s="26">
        <f>J34*(1-G34-H34)</f>
        <v/>
      </c>
      <c r="K35" s="26">
        <f>J34*G34+K34*(1-I34)</f>
        <v/>
      </c>
      <c r="L35" s="26">
        <f>L34+J34*H34+K34*I34</f>
        <v/>
      </c>
      <c r="M35" s="27">
        <f>J35*(cost_well_annual+cost_intervention_annual)+K35*cost_disease_annual</f>
        <v/>
      </c>
      <c r="N35" s="26">
        <f>J35*utility_well+K35*utility_disease</f>
        <v/>
      </c>
      <c r="O35" s="26">
        <f>J35+K35</f>
        <v/>
      </c>
      <c r="P35" s="25">
        <f>IF(A35&gt;cycles-1,0,IF(AND(half_cycle=1,OR(A35=0,A35=cycles-1)),0.5,1))</f>
        <v/>
      </c>
      <c r="Q35" s="26">
        <f>1/(1+discount_rate)^A35</f>
        <v/>
      </c>
      <c r="R35" s="27">
        <f>M35*P35*Q35</f>
        <v/>
      </c>
      <c r="S35" s="26">
        <f>N35*P35*Q35</f>
        <v/>
      </c>
      <c r="T35" s="26">
        <f>O35*P35*Q35</f>
        <v/>
      </c>
    </row>
    <row r="36">
      <c r="A36" s="24" t="n">
        <v>32</v>
      </c>
      <c r="B36" s="25">
        <f>start_age+32</f>
        <v/>
      </c>
      <c r="C36" s="26">
        <f>incidence_rate*(1-rrr_intervention)</f>
        <v/>
      </c>
      <c r="D36" s="26">
        <f>1-EXP(-C36*cycle_length)</f>
        <v/>
      </c>
      <c r="E36" s="26">
        <f>1-EXP(-(gompertz_a*EXP(gompertz_b*MAX(0,B36-20)))*cycle_length)</f>
        <v/>
      </c>
      <c r="F36" s="26">
        <f>1-EXP(-excess_mortality_rate*cycle_length)</f>
        <v/>
      </c>
      <c r="G36" s="26">
        <f>IF((D36+E36)&gt;1,D36/(D36+E36),D36)</f>
        <v/>
      </c>
      <c r="H36" s="26">
        <f>IF((D36+E36)&gt;1,E36/(D36+E36),E36)</f>
        <v/>
      </c>
      <c r="I36" s="26">
        <f>MIN(1,E36+F36)</f>
        <v/>
      </c>
      <c r="J36" s="26">
        <f>J35*(1-G35-H35)</f>
        <v/>
      </c>
      <c r="K36" s="26">
        <f>J35*G35+K35*(1-I35)</f>
        <v/>
      </c>
      <c r="L36" s="26">
        <f>L35+J35*H35+K35*I35</f>
        <v/>
      </c>
      <c r="M36" s="27">
        <f>J36*(cost_well_annual+cost_intervention_annual)+K36*cost_disease_annual</f>
        <v/>
      </c>
      <c r="N36" s="26">
        <f>J36*utility_well+K36*utility_disease</f>
        <v/>
      </c>
      <c r="O36" s="26">
        <f>J36+K36</f>
        <v/>
      </c>
      <c r="P36" s="25">
        <f>IF(A36&gt;cycles-1,0,IF(AND(half_cycle=1,OR(A36=0,A36=cycles-1)),0.5,1))</f>
        <v/>
      </c>
      <c r="Q36" s="26">
        <f>1/(1+discount_rate)^A36</f>
        <v/>
      </c>
      <c r="R36" s="27">
        <f>M36*P36*Q36</f>
        <v/>
      </c>
      <c r="S36" s="26">
        <f>N36*P36*Q36</f>
        <v/>
      </c>
      <c r="T36" s="26">
        <f>O36*P36*Q36</f>
        <v/>
      </c>
    </row>
    <row r="37">
      <c r="A37" s="24" t="n">
        <v>33</v>
      </c>
      <c r="B37" s="25">
        <f>start_age+33</f>
        <v/>
      </c>
      <c r="C37" s="26">
        <f>incidence_rate*(1-rrr_intervention)</f>
        <v/>
      </c>
      <c r="D37" s="26">
        <f>1-EXP(-C37*cycle_length)</f>
        <v/>
      </c>
      <c r="E37" s="26">
        <f>1-EXP(-(gompertz_a*EXP(gompertz_b*MAX(0,B37-20)))*cycle_length)</f>
        <v/>
      </c>
      <c r="F37" s="26">
        <f>1-EXP(-excess_mortality_rate*cycle_length)</f>
        <v/>
      </c>
      <c r="G37" s="26">
        <f>IF((D37+E37)&gt;1,D37/(D37+E37),D37)</f>
        <v/>
      </c>
      <c r="H37" s="26">
        <f>IF((D37+E37)&gt;1,E37/(D37+E37),E37)</f>
        <v/>
      </c>
      <c r="I37" s="26">
        <f>MIN(1,E37+F37)</f>
        <v/>
      </c>
      <c r="J37" s="26">
        <f>J36*(1-G36-H36)</f>
        <v/>
      </c>
      <c r="K37" s="26">
        <f>J36*G36+K36*(1-I36)</f>
        <v/>
      </c>
      <c r="L37" s="26">
        <f>L36+J36*H36+K36*I36</f>
        <v/>
      </c>
      <c r="M37" s="27">
        <f>J37*(cost_well_annual+cost_intervention_annual)+K37*cost_disease_annual</f>
        <v/>
      </c>
      <c r="N37" s="26">
        <f>J37*utility_well+K37*utility_disease</f>
        <v/>
      </c>
      <c r="O37" s="26">
        <f>J37+K37</f>
        <v/>
      </c>
      <c r="P37" s="25">
        <f>IF(A37&gt;cycles-1,0,IF(AND(half_cycle=1,OR(A37=0,A37=cycles-1)),0.5,1))</f>
        <v/>
      </c>
      <c r="Q37" s="26">
        <f>1/(1+discount_rate)^A37</f>
        <v/>
      </c>
      <c r="R37" s="27">
        <f>M37*P37*Q37</f>
        <v/>
      </c>
      <c r="S37" s="26">
        <f>N37*P37*Q37</f>
        <v/>
      </c>
      <c r="T37" s="26">
        <f>O37*P37*Q37</f>
        <v/>
      </c>
    </row>
    <row r="38">
      <c r="A38" s="24" t="n">
        <v>34</v>
      </c>
      <c r="B38" s="25">
        <f>start_age+34</f>
        <v/>
      </c>
      <c r="C38" s="26">
        <f>incidence_rate*(1-rrr_intervention)</f>
        <v/>
      </c>
      <c r="D38" s="26">
        <f>1-EXP(-C38*cycle_length)</f>
        <v/>
      </c>
      <c r="E38" s="26">
        <f>1-EXP(-(gompertz_a*EXP(gompertz_b*MAX(0,B38-20)))*cycle_length)</f>
        <v/>
      </c>
      <c r="F38" s="26">
        <f>1-EXP(-excess_mortality_rate*cycle_length)</f>
        <v/>
      </c>
      <c r="G38" s="26">
        <f>IF((D38+E38)&gt;1,D38/(D38+E38),D38)</f>
        <v/>
      </c>
      <c r="H38" s="26">
        <f>IF((D38+E38)&gt;1,E38/(D38+E38),E38)</f>
        <v/>
      </c>
      <c r="I38" s="26">
        <f>MIN(1,E38+F38)</f>
        <v/>
      </c>
      <c r="J38" s="26">
        <f>J37*(1-G37-H37)</f>
        <v/>
      </c>
      <c r="K38" s="26">
        <f>J37*G37+K37*(1-I37)</f>
        <v/>
      </c>
      <c r="L38" s="26">
        <f>L37+J37*H37+K37*I37</f>
        <v/>
      </c>
      <c r="M38" s="27">
        <f>J38*(cost_well_annual+cost_intervention_annual)+K38*cost_disease_annual</f>
        <v/>
      </c>
      <c r="N38" s="26">
        <f>J38*utility_well+K38*utility_disease</f>
        <v/>
      </c>
      <c r="O38" s="26">
        <f>J38+K38</f>
        <v/>
      </c>
      <c r="P38" s="25">
        <f>IF(A38&gt;cycles-1,0,IF(AND(half_cycle=1,OR(A38=0,A38=cycles-1)),0.5,1))</f>
        <v/>
      </c>
      <c r="Q38" s="26">
        <f>1/(1+discount_rate)^A38</f>
        <v/>
      </c>
      <c r="R38" s="27">
        <f>M38*P38*Q38</f>
        <v/>
      </c>
      <c r="S38" s="26">
        <f>N38*P38*Q38</f>
        <v/>
      </c>
      <c r="T38" s="26">
        <f>O38*P38*Q38</f>
        <v/>
      </c>
    </row>
    <row r="39">
      <c r="A39" s="24" t="n">
        <v>35</v>
      </c>
      <c r="B39" s="25">
        <f>start_age+35</f>
        <v/>
      </c>
      <c r="C39" s="26">
        <f>incidence_rate*(1-rrr_intervention)</f>
        <v/>
      </c>
      <c r="D39" s="26">
        <f>1-EXP(-C39*cycle_length)</f>
        <v/>
      </c>
      <c r="E39" s="26">
        <f>1-EXP(-(gompertz_a*EXP(gompertz_b*MAX(0,B39-20)))*cycle_length)</f>
        <v/>
      </c>
      <c r="F39" s="26">
        <f>1-EXP(-excess_mortality_rate*cycle_length)</f>
        <v/>
      </c>
      <c r="G39" s="26">
        <f>IF((D39+E39)&gt;1,D39/(D39+E39),D39)</f>
        <v/>
      </c>
      <c r="H39" s="26">
        <f>IF((D39+E39)&gt;1,E39/(D39+E39),E39)</f>
        <v/>
      </c>
      <c r="I39" s="26">
        <f>MIN(1,E39+F39)</f>
        <v/>
      </c>
      <c r="J39" s="26">
        <f>J38*(1-G38-H38)</f>
        <v/>
      </c>
      <c r="K39" s="26">
        <f>J38*G38+K38*(1-I38)</f>
        <v/>
      </c>
      <c r="L39" s="26">
        <f>L38+J38*H38+K38*I38</f>
        <v/>
      </c>
      <c r="M39" s="27">
        <f>J39*(cost_well_annual+cost_intervention_annual)+K39*cost_disease_annual</f>
        <v/>
      </c>
      <c r="N39" s="26">
        <f>J39*utility_well+K39*utility_disease</f>
        <v/>
      </c>
      <c r="O39" s="26">
        <f>J39+K39</f>
        <v/>
      </c>
      <c r="P39" s="25">
        <f>IF(A39&gt;cycles-1,0,IF(AND(half_cycle=1,OR(A39=0,A39=cycles-1)),0.5,1))</f>
        <v/>
      </c>
      <c r="Q39" s="26">
        <f>1/(1+discount_rate)^A39</f>
        <v/>
      </c>
      <c r="R39" s="27">
        <f>M39*P39*Q39</f>
        <v/>
      </c>
      <c r="S39" s="26">
        <f>N39*P39*Q39</f>
        <v/>
      </c>
      <c r="T39" s="26">
        <f>O39*P39*Q39</f>
        <v/>
      </c>
    </row>
    <row r="40">
      <c r="A40" s="24" t="n">
        <v>36</v>
      </c>
      <c r="B40" s="25">
        <f>start_age+36</f>
        <v/>
      </c>
      <c r="C40" s="26">
        <f>incidence_rate*(1-rrr_intervention)</f>
        <v/>
      </c>
      <c r="D40" s="26">
        <f>1-EXP(-C40*cycle_length)</f>
        <v/>
      </c>
      <c r="E40" s="26">
        <f>1-EXP(-(gompertz_a*EXP(gompertz_b*MAX(0,B40-20)))*cycle_length)</f>
        <v/>
      </c>
      <c r="F40" s="26">
        <f>1-EXP(-excess_mortality_rate*cycle_length)</f>
        <v/>
      </c>
      <c r="G40" s="26">
        <f>IF((D40+E40)&gt;1,D40/(D40+E40),D40)</f>
        <v/>
      </c>
      <c r="H40" s="26">
        <f>IF((D40+E40)&gt;1,E40/(D40+E40),E40)</f>
        <v/>
      </c>
      <c r="I40" s="26">
        <f>MIN(1,E40+F40)</f>
        <v/>
      </c>
      <c r="J40" s="26">
        <f>J39*(1-G39-H39)</f>
        <v/>
      </c>
      <c r="K40" s="26">
        <f>J39*G39+K39*(1-I39)</f>
        <v/>
      </c>
      <c r="L40" s="26">
        <f>L39+J39*H39+K39*I39</f>
        <v/>
      </c>
      <c r="M40" s="27">
        <f>J40*(cost_well_annual+cost_intervention_annual)+K40*cost_disease_annual</f>
        <v/>
      </c>
      <c r="N40" s="26">
        <f>J40*utility_well+K40*utility_disease</f>
        <v/>
      </c>
      <c r="O40" s="26">
        <f>J40+K40</f>
        <v/>
      </c>
      <c r="P40" s="25">
        <f>IF(A40&gt;cycles-1,0,IF(AND(half_cycle=1,OR(A40=0,A40=cycles-1)),0.5,1))</f>
        <v/>
      </c>
      <c r="Q40" s="26">
        <f>1/(1+discount_rate)^A40</f>
        <v/>
      </c>
      <c r="R40" s="27">
        <f>M40*P40*Q40</f>
        <v/>
      </c>
      <c r="S40" s="26">
        <f>N40*P40*Q40</f>
        <v/>
      </c>
      <c r="T40" s="26">
        <f>O40*P40*Q40</f>
        <v/>
      </c>
    </row>
    <row r="41">
      <c r="A41" s="24" t="n">
        <v>37</v>
      </c>
      <c r="B41" s="25">
        <f>start_age+37</f>
        <v/>
      </c>
      <c r="C41" s="26">
        <f>incidence_rate*(1-rrr_intervention)</f>
        <v/>
      </c>
      <c r="D41" s="26">
        <f>1-EXP(-C41*cycle_length)</f>
        <v/>
      </c>
      <c r="E41" s="26">
        <f>1-EXP(-(gompertz_a*EXP(gompertz_b*MAX(0,B41-20)))*cycle_length)</f>
        <v/>
      </c>
      <c r="F41" s="26">
        <f>1-EXP(-excess_mortality_rate*cycle_length)</f>
        <v/>
      </c>
      <c r="G41" s="26">
        <f>IF((D41+E41)&gt;1,D41/(D41+E41),D41)</f>
        <v/>
      </c>
      <c r="H41" s="26">
        <f>IF((D41+E41)&gt;1,E41/(D41+E41),E41)</f>
        <v/>
      </c>
      <c r="I41" s="26">
        <f>MIN(1,E41+F41)</f>
        <v/>
      </c>
      <c r="J41" s="26">
        <f>J40*(1-G40-H40)</f>
        <v/>
      </c>
      <c r="K41" s="26">
        <f>J40*G40+K40*(1-I40)</f>
        <v/>
      </c>
      <c r="L41" s="26">
        <f>L40+J40*H40+K40*I40</f>
        <v/>
      </c>
      <c r="M41" s="27">
        <f>J41*(cost_well_annual+cost_intervention_annual)+K41*cost_disease_annual</f>
        <v/>
      </c>
      <c r="N41" s="26">
        <f>J41*utility_well+K41*utility_disease</f>
        <v/>
      </c>
      <c r="O41" s="26">
        <f>J41+K41</f>
        <v/>
      </c>
      <c r="P41" s="25">
        <f>IF(A41&gt;cycles-1,0,IF(AND(half_cycle=1,OR(A41=0,A41=cycles-1)),0.5,1))</f>
        <v/>
      </c>
      <c r="Q41" s="26">
        <f>1/(1+discount_rate)^A41</f>
        <v/>
      </c>
      <c r="R41" s="27">
        <f>M41*P41*Q41</f>
        <v/>
      </c>
      <c r="S41" s="26">
        <f>N41*P41*Q41</f>
        <v/>
      </c>
      <c r="T41" s="26">
        <f>O41*P41*Q41</f>
        <v/>
      </c>
    </row>
    <row r="42">
      <c r="A42" s="24" t="n">
        <v>38</v>
      </c>
      <c r="B42" s="25">
        <f>start_age+38</f>
        <v/>
      </c>
      <c r="C42" s="26">
        <f>incidence_rate*(1-rrr_intervention)</f>
        <v/>
      </c>
      <c r="D42" s="26">
        <f>1-EXP(-C42*cycle_length)</f>
        <v/>
      </c>
      <c r="E42" s="26">
        <f>1-EXP(-(gompertz_a*EXP(gompertz_b*MAX(0,B42-20)))*cycle_length)</f>
        <v/>
      </c>
      <c r="F42" s="26">
        <f>1-EXP(-excess_mortality_rate*cycle_length)</f>
        <v/>
      </c>
      <c r="G42" s="26">
        <f>IF((D42+E42)&gt;1,D42/(D42+E42),D42)</f>
        <v/>
      </c>
      <c r="H42" s="26">
        <f>IF((D42+E42)&gt;1,E42/(D42+E42),E42)</f>
        <v/>
      </c>
      <c r="I42" s="26">
        <f>MIN(1,E42+F42)</f>
        <v/>
      </c>
      <c r="J42" s="26">
        <f>J41*(1-G41-H41)</f>
        <v/>
      </c>
      <c r="K42" s="26">
        <f>J41*G41+K41*(1-I41)</f>
        <v/>
      </c>
      <c r="L42" s="26">
        <f>L41+J41*H41+K41*I41</f>
        <v/>
      </c>
      <c r="M42" s="27">
        <f>J42*(cost_well_annual+cost_intervention_annual)+K42*cost_disease_annual</f>
        <v/>
      </c>
      <c r="N42" s="26">
        <f>J42*utility_well+K42*utility_disease</f>
        <v/>
      </c>
      <c r="O42" s="26">
        <f>J42+K42</f>
        <v/>
      </c>
      <c r="P42" s="25">
        <f>IF(A42&gt;cycles-1,0,IF(AND(half_cycle=1,OR(A42=0,A42=cycles-1)),0.5,1))</f>
        <v/>
      </c>
      <c r="Q42" s="26">
        <f>1/(1+discount_rate)^A42</f>
        <v/>
      </c>
      <c r="R42" s="27">
        <f>M42*P42*Q42</f>
        <v/>
      </c>
      <c r="S42" s="26">
        <f>N42*P42*Q42</f>
        <v/>
      </c>
      <c r="T42" s="26">
        <f>O42*P42*Q42</f>
        <v/>
      </c>
    </row>
    <row r="43">
      <c r="A43" s="24" t="n">
        <v>39</v>
      </c>
      <c r="B43" s="25">
        <f>start_age+39</f>
        <v/>
      </c>
      <c r="C43" s="26">
        <f>incidence_rate*(1-rrr_intervention)</f>
        <v/>
      </c>
      <c r="D43" s="26">
        <f>1-EXP(-C43*cycle_length)</f>
        <v/>
      </c>
      <c r="E43" s="26">
        <f>1-EXP(-(gompertz_a*EXP(gompertz_b*MAX(0,B43-20)))*cycle_length)</f>
        <v/>
      </c>
      <c r="F43" s="26">
        <f>1-EXP(-excess_mortality_rate*cycle_length)</f>
        <v/>
      </c>
      <c r="G43" s="26">
        <f>IF((D43+E43)&gt;1,D43/(D43+E43),D43)</f>
        <v/>
      </c>
      <c r="H43" s="26">
        <f>IF((D43+E43)&gt;1,E43/(D43+E43),E43)</f>
        <v/>
      </c>
      <c r="I43" s="26">
        <f>MIN(1,E43+F43)</f>
        <v/>
      </c>
      <c r="J43" s="26">
        <f>J42*(1-G42-H42)</f>
        <v/>
      </c>
      <c r="K43" s="26">
        <f>J42*G42+K42*(1-I42)</f>
        <v/>
      </c>
      <c r="L43" s="26">
        <f>L42+J42*H42+K42*I42</f>
        <v/>
      </c>
      <c r="M43" s="27">
        <f>J43*(cost_well_annual+cost_intervention_annual)+K43*cost_disease_annual</f>
        <v/>
      </c>
      <c r="N43" s="26">
        <f>J43*utility_well+K43*utility_disease</f>
        <v/>
      </c>
      <c r="O43" s="26">
        <f>J43+K43</f>
        <v/>
      </c>
      <c r="P43" s="25">
        <f>IF(A43&gt;cycles-1,0,IF(AND(half_cycle=1,OR(A43=0,A43=cycles-1)),0.5,1))</f>
        <v/>
      </c>
      <c r="Q43" s="26">
        <f>1/(1+discount_rate)^A43</f>
        <v/>
      </c>
      <c r="R43" s="27">
        <f>M43*P43*Q43</f>
        <v/>
      </c>
      <c r="S43" s="26">
        <f>N43*P43*Q43</f>
        <v/>
      </c>
      <c r="T43" s="26">
        <f>O43*P43*Q43</f>
        <v/>
      </c>
    </row>
    <row r="44">
      <c r="A44" s="24" t="n">
        <v>40</v>
      </c>
      <c r="B44" s="25">
        <f>start_age+40</f>
        <v/>
      </c>
      <c r="C44" s="26">
        <f>incidence_rate*(1-rrr_intervention)</f>
        <v/>
      </c>
      <c r="D44" s="26">
        <f>1-EXP(-C44*cycle_length)</f>
        <v/>
      </c>
      <c r="E44" s="26">
        <f>1-EXP(-(gompertz_a*EXP(gompertz_b*MAX(0,B44-20)))*cycle_length)</f>
        <v/>
      </c>
      <c r="F44" s="26">
        <f>1-EXP(-excess_mortality_rate*cycle_length)</f>
        <v/>
      </c>
      <c r="G44" s="26">
        <f>IF((D44+E44)&gt;1,D44/(D44+E44),D44)</f>
        <v/>
      </c>
      <c r="H44" s="26">
        <f>IF((D44+E44)&gt;1,E44/(D44+E44),E44)</f>
        <v/>
      </c>
      <c r="I44" s="26">
        <f>MIN(1,E44+F44)</f>
        <v/>
      </c>
      <c r="J44" s="26">
        <f>J43*(1-G43-H43)</f>
        <v/>
      </c>
      <c r="K44" s="26">
        <f>J43*G43+K43*(1-I43)</f>
        <v/>
      </c>
      <c r="L44" s="26">
        <f>L43+J43*H43+K43*I43</f>
        <v/>
      </c>
      <c r="M44" s="27">
        <f>J44*(cost_well_annual+cost_intervention_annual)+K44*cost_disease_annual</f>
        <v/>
      </c>
      <c r="N44" s="26">
        <f>J44*utility_well+K44*utility_disease</f>
        <v/>
      </c>
      <c r="O44" s="26">
        <f>J44+K44</f>
        <v/>
      </c>
      <c r="P44" s="25">
        <f>IF(A44&gt;cycles-1,0,IF(AND(half_cycle=1,OR(A44=0,A44=cycles-1)),0.5,1))</f>
        <v/>
      </c>
      <c r="Q44" s="26">
        <f>1/(1+discount_rate)^A44</f>
        <v/>
      </c>
      <c r="R44" s="27">
        <f>M44*P44*Q44</f>
        <v/>
      </c>
      <c r="S44" s="26">
        <f>N44*P44*Q44</f>
        <v/>
      </c>
      <c r="T44" s="26">
        <f>O44*P44*Q44</f>
        <v/>
      </c>
    </row>
    <row r="45">
      <c r="A45" s="24" t="n">
        <v>41</v>
      </c>
      <c r="B45" s="25">
        <f>start_age+41</f>
        <v/>
      </c>
      <c r="C45" s="26">
        <f>incidence_rate*(1-rrr_intervention)</f>
        <v/>
      </c>
      <c r="D45" s="26">
        <f>1-EXP(-C45*cycle_length)</f>
        <v/>
      </c>
      <c r="E45" s="26">
        <f>1-EXP(-(gompertz_a*EXP(gompertz_b*MAX(0,B45-20)))*cycle_length)</f>
        <v/>
      </c>
      <c r="F45" s="26">
        <f>1-EXP(-excess_mortality_rate*cycle_length)</f>
        <v/>
      </c>
      <c r="G45" s="26">
        <f>IF((D45+E45)&gt;1,D45/(D45+E45),D45)</f>
        <v/>
      </c>
      <c r="H45" s="26">
        <f>IF((D45+E45)&gt;1,E45/(D45+E45),E45)</f>
        <v/>
      </c>
      <c r="I45" s="26">
        <f>MIN(1,E45+F45)</f>
        <v/>
      </c>
      <c r="J45" s="26">
        <f>J44*(1-G44-H44)</f>
        <v/>
      </c>
      <c r="K45" s="26">
        <f>J44*G44+K44*(1-I44)</f>
        <v/>
      </c>
      <c r="L45" s="26">
        <f>L44+J44*H44+K44*I44</f>
        <v/>
      </c>
      <c r="M45" s="27">
        <f>J45*(cost_well_annual+cost_intervention_annual)+K45*cost_disease_annual</f>
        <v/>
      </c>
      <c r="N45" s="26">
        <f>J45*utility_well+K45*utility_disease</f>
        <v/>
      </c>
      <c r="O45" s="26">
        <f>J45+K45</f>
        <v/>
      </c>
      <c r="P45" s="25">
        <f>IF(A45&gt;cycles-1,0,IF(AND(half_cycle=1,OR(A45=0,A45=cycles-1)),0.5,1))</f>
        <v/>
      </c>
      <c r="Q45" s="26">
        <f>1/(1+discount_rate)^A45</f>
        <v/>
      </c>
      <c r="R45" s="27">
        <f>M45*P45*Q45</f>
        <v/>
      </c>
      <c r="S45" s="26">
        <f>N45*P45*Q45</f>
        <v/>
      </c>
      <c r="T45" s="26">
        <f>O45*P45*Q45</f>
        <v/>
      </c>
    </row>
    <row r="46">
      <c r="A46" s="24" t="n">
        <v>42</v>
      </c>
      <c r="B46" s="25">
        <f>start_age+42</f>
        <v/>
      </c>
      <c r="C46" s="26">
        <f>incidence_rate*(1-rrr_intervention)</f>
        <v/>
      </c>
      <c r="D46" s="26">
        <f>1-EXP(-C46*cycle_length)</f>
        <v/>
      </c>
      <c r="E46" s="26">
        <f>1-EXP(-(gompertz_a*EXP(gompertz_b*MAX(0,B46-20)))*cycle_length)</f>
        <v/>
      </c>
      <c r="F46" s="26">
        <f>1-EXP(-excess_mortality_rate*cycle_length)</f>
        <v/>
      </c>
      <c r="G46" s="26">
        <f>IF((D46+E46)&gt;1,D46/(D46+E46),D46)</f>
        <v/>
      </c>
      <c r="H46" s="26">
        <f>IF((D46+E46)&gt;1,E46/(D46+E46),E46)</f>
        <v/>
      </c>
      <c r="I46" s="26">
        <f>MIN(1,E46+F46)</f>
        <v/>
      </c>
      <c r="J46" s="26">
        <f>J45*(1-G45-H45)</f>
        <v/>
      </c>
      <c r="K46" s="26">
        <f>J45*G45+K45*(1-I45)</f>
        <v/>
      </c>
      <c r="L46" s="26">
        <f>L45+J45*H45+K45*I45</f>
        <v/>
      </c>
      <c r="M46" s="27">
        <f>J46*(cost_well_annual+cost_intervention_annual)+K46*cost_disease_annual</f>
        <v/>
      </c>
      <c r="N46" s="26">
        <f>J46*utility_well+K46*utility_disease</f>
        <v/>
      </c>
      <c r="O46" s="26">
        <f>J46+K46</f>
        <v/>
      </c>
      <c r="P46" s="25">
        <f>IF(A46&gt;cycles-1,0,IF(AND(half_cycle=1,OR(A46=0,A46=cycles-1)),0.5,1))</f>
        <v/>
      </c>
      <c r="Q46" s="26">
        <f>1/(1+discount_rate)^A46</f>
        <v/>
      </c>
      <c r="R46" s="27">
        <f>M46*P46*Q46</f>
        <v/>
      </c>
      <c r="S46" s="26">
        <f>N46*P46*Q46</f>
        <v/>
      </c>
      <c r="T46" s="26">
        <f>O46*P46*Q46</f>
        <v/>
      </c>
    </row>
    <row r="47">
      <c r="A47" s="24" t="n">
        <v>43</v>
      </c>
      <c r="B47" s="25">
        <f>start_age+43</f>
        <v/>
      </c>
      <c r="C47" s="26">
        <f>incidence_rate*(1-rrr_intervention)</f>
        <v/>
      </c>
      <c r="D47" s="26">
        <f>1-EXP(-C47*cycle_length)</f>
        <v/>
      </c>
      <c r="E47" s="26">
        <f>1-EXP(-(gompertz_a*EXP(gompertz_b*MAX(0,B47-20)))*cycle_length)</f>
        <v/>
      </c>
      <c r="F47" s="26">
        <f>1-EXP(-excess_mortality_rate*cycle_length)</f>
        <v/>
      </c>
      <c r="G47" s="26">
        <f>IF((D47+E47)&gt;1,D47/(D47+E47),D47)</f>
        <v/>
      </c>
      <c r="H47" s="26">
        <f>IF((D47+E47)&gt;1,E47/(D47+E47),E47)</f>
        <v/>
      </c>
      <c r="I47" s="26">
        <f>MIN(1,E47+F47)</f>
        <v/>
      </c>
      <c r="J47" s="26">
        <f>J46*(1-G46-H46)</f>
        <v/>
      </c>
      <c r="K47" s="26">
        <f>J46*G46+K46*(1-I46)</f>
        <v/>
      </c>
      <c r="L47" s="26">
        <f>L46+J46*H46+K46*I46</f>
        <v/>
      </c>
      <c r="M47" s="27">
        <f>J47*(cost_well_annual+cost_intervention_annual)+K47*cost_disease_annual</f>
        <v/>
      </c>
      <c r="N47" s="26">
        <f>J47*utility_well+K47*utility_disease</f>
        <v/>
      </c>
      <c r="O47" s="26">
        <f>J47+K47</f>
        <v/>
      </c>
      <c r="P47" s="25">
        <f>IF(A47&gt;cycles-1,0,IF(AND(half_cycle=1,OR(A47=0,A47=cycles-1)),0.5,1))</f>
        <v/>
      </c>
      <c r="Q47" s="26">
        <f>1/(1+discount_rate)^A47</f>
        <v/>
      </c>
      <c r="R47" s="27">
        <f>M47*P47*Q47</f>
        <v/>
      </c>
      <c r="S47" s="26">
        <f>N47*P47*Q47</f>
        <v/>
      </c>
      <c r="T47" s="26">
        <f>O47*P47*Q47</f>
        <v/>
      </c>
    </row>
    <row r="48">
      <c r="A48" s="24" t="n">
        <v>44</v>
      </c>
      <c r="B48" s="25">
        <f>start_age+44</f>
        <v/>
      </c>
      <c r="C48" s="26">
        <f>incidence_rate*(1-rrr_intervention)</f>
        <v/>
      </c>
      <c r="D48" s="26">
        <f>1-EXP(-C48*cycle_length)</f>
        <v/>
      </c>
      <c r="E48" s="26">
        <f>1-EXP(-(gompertz_a*EXP(gompertz_b*MAX(0,B48-20)))*cycle_length)</f>
        <v/>
      </c>
      <c r="F48" s="26">
        <f>1-EXP(-excess_mortality_rate*cycle_length)</f>
        <v/>
      </c>
      <c r="G48" s="26">
        <f>IF((D48+E48)&gt;1,D48/(D48+E48),D48)</f>
        <v/>
      </c>
      <c r="H48" s="26">
        <f>IF((D48+E48)&gt;1,E48/(D48+E48),E48)</f>
        <v/>
      </c>
      <c r="I48" s="26">
        <f>MIN(1,E48+F48)</f>
        <v/>
      </c>
      <c r="J48" s="26">
        <f>J47*(1-G47-H47)</f>
        <v/>
      </c>
      <c r="K48" s="26">
        <f>J47*G47+K47*(1-I47)</f>
        <v/>
      </c>
      <c r="L48" s="26">
        <f>L47+J47*H47+K47*I47</f>
        <v/>
      </c>
      <c r="M48" s="27">
        <f>J48*(cost_well_annual+cost_intervention_annual)+K48*cost_disease_annual</f>
        <v/>
      </c>
      <c r="N48" s="26">
        <f>J48*utility_well+K48*utility_disease</f>
        <v/>
      </c>
      <c r="O48" s="26">
        <f>J48+K48</f>
        <v/>
      </c>
      <c r="P48" s="25">
        <f>IF(A48&gt;cycles-1,0,IF(AND(half_cycle=1,OR(A48=0,A48=cycles-1)),0.5,1))</f>
        <v/>
      </c>
      <c r="Q48" s="26">
        <f>1/(1+discount_rate)^A48</f>
        <v/>
      </c>
      <c r="R48" s="27">
        <f>M48*P48*Q48</f>
        <v/>
      </c>
      <c r="S48" s="26">
        <f>N48*P48*Q48</f>
        <v/>
      </c>
      <c r="T48" s="26">
        <f>O48*P48*Q48</f>
        <v/>
      </c>
    </row>
    <row r="50">
      <c r="A50" s="10" t="inlineStr">
        <is>
          <t>TOTAL (discounted)</t>
        </is>
      </c>
      <c r="R50" s="28">
        <f>SUM(R4:R48)</f>
        <v/>
      </c>
      <c r="S50" s="29">
        <f>SUM(S4:S48)</f>
        <v/>
      </c>
      <c r="T50" s="29">
        <f>SUM(T4:T48)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2026-09-02T18:44:50Z</dcterms:created>
  <dcterms:modified xmlns:dcterms="http://purl.org/dc/terms/" xmlns:xsi="http://www.w3.org/2001/XMLSchema-instance" xsi:type="dcterms:W3CDTF">2026-09-02T18:44:50Z</dcterms:modified>
</cp:coreProperties>
</file>